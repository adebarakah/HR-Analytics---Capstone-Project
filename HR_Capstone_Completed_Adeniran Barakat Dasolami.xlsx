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Adeniran Project\HR-Analytics---Capstone-Project\"/>
    </mc:Choice>
  </mc:AlternateContent>
  <xr:revisionPtr revIDLastSave="0" documentId="13_ncr:1_{98F498CF-96E8-452C-A954-7604D34FFABC}" xr6:coauthVersionLast="47" xr6:coauthVersionMax="47" xr10:uidLastSave="{00000000-0000-0000-0000-000000000000}"/>
  <bookViews>
    <workbookView xWindow="-120" yWindow="-120" windowWidth="20730" windowHeight="11760" xr2:uid="{00000000-000D-0000-FFFF-FFFF00000000}"/>
  </bookViews>
  <sheets>
    <sheet name="Raw_Employee_Data" sheetId="1" r:id="rId1"/>
    <sheet name="Lookup_Departments" sheetId="2" r:id="rId2"/>
    <sheet name="Lookup_Performance" sheetId="3" r:id="rId3"/>
    <sheet name="Analysis" sheetId="5" r:id="rId4"/>
    <sheet name="HR_Dashboard_Workforce" sheetId="6" r:id="rId5"/>
    <sheet name="HR_Dashboard_Performance" sheetId="7" r:id="rId6"/>
  </sheets>
  <definedNames>
    <definedName name="_xlcn.WorksheetConnection_HR_Analytics_Capstone_Raw_Data2.xlsxTable11" hidden="1">Table1[]</definedName>
    <definedName name="Slicer_Department">#N/A</definedName>
    <definedName name="Slicer_Employment_Status">#N/A</definedName>
    <definedName name="Slicer_Employment_Year">#N/A</definedName>
    <definedName name="Slicer_Performance_Band">#N/A</definedName>
  </definedNames>
  <calcPr calcId="191029"/>
  <pivotCaches>
    <pivotCache cacheId="575" r:id="rId7"/>
    <pivotCache cacheId="578" r:id="rId8"/>
    <pivotCache cacheId="608" r:id="rId9"/>
    <pivotCache cacheId="611" r:id="rId10"/>
    <pivotCache cacheId="614" r:id="rId11"/>
    <pivotCache cacheId="617" r:id="rId12"/>
    <pivotCache cacheId="620" r:id="rId13"/>
    <pivotCache cacheId="623" r:id="rId14"/>
    <pivotCache cacheId="626" r:id="rId15"/>
    <pivotCache cacheId="629" r:id="rId16"/>
    <pivotCache cacheId="632" r:id="rId17"/>
    <pivotCache cacheId="635" r:id="rId18"/>
    <pivotCache cacheId="638" r:id="rId19"/>
    <pivotCache cacheId="641" r:id="rId20"/>
    <pivotCache cacheId="644" r:id="rId21"/>
    <pivotCache cacheId="647" r:id="rId22"/>
    <pivotCache cacheId="650"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_Analytics_Capstone_Raw_Data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8" i="5" l="1"/>
  <c r="E4" i="5"/>
  <c r="L36" i="5"/>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C4"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E2" i="1"/>
  <c r="K3" i="1" a="1"/>
  <c r="K3" i="1"/>
  <c r="L3" i="1" s="1"/>
  <c r="M3" i="1" s="1"/>
  <c r="K4" i="1" a="1"/>
  <c r="K4" i="1"/>
  <c r="L4" i="1" s="1"/>
  <c r="M4" i="1" s="1"/>
  <c r="K5" i="1" a="1"/>
  <c r="K5" i="1"/>
  <c r="L5" i="1" s="1"/>
  <c r="M5" i="1" s="1"/>
  <c r="K6" i="1" a="1"/>
  <c r="K6" i="1"/>
  <c r="L6" i="1" s="1"/>
  <c r="M6" i="1" s="1"/>
  <c r="K7" i="1" a="1"/>
  <c r="K7" i="1"/>
  <c r="L7" i="1" s="1"/>
  <c r="M7" i="1" s="1"/>
  <c r="K8" i="1" a="1"/>
  <c r="K8" i="1"/>
  <c r="L8" i="1" s="1"/>
  <c r="M8" i="1" s="1"/>
  <c r="K9" i="1" a="1"/>
  <c r="K9" i="1"/>
  <c r="L9" i="1" s="1"/>
  <c r="M9" i="1" s="1"/>
  <c r="K10" i="1" a="1"/>
  <c r="K10" i="1"/>
  <c r="L10" i="1" s="1"/>
  <c r="M10" i="1" s="1"/>
  <c r="K11" i="1" a="1"/>
  <c r="K11" i="1"/>
  <c r="L11" i="1" s="1"/>
  <c r="M11" i="1" s="1"/>
  <c r="K12" i="1" a="1"/>
  <c r="K12" i="1"/>
  <c r="L12" i="1" s="1"/>
  <c r="M12" i="1" s="1"/>
  <c r="K13" i="1" a="1"/>
  <c r="K13" i="1"/>
  <c r="L13" i="1" s="1"/>
  <c r="M13" i="1" s="1"/>
  <c r="K14" i="1" a="1"/>
  <c r="K14" i="1"/>
  <c r="L14" i="1" s="1"/>
  <c r="M14" i="1" s="1"/>
  <c r="K15" i="1" a="1"/>
  <c r="K15" i="1"/>
  <c r="L15" i="1" s="1"/>
  <c r="M15" i="1" s="1"/>
  <c r="K16" i="1" a="1"/>
  <c r="K16" i="1"/>
  <c r="L16" i="1" s="1"/>
  <c r="M16" i="1" s="1"/>
  <c r="K17" i="1" a="1"/>
  <c r="K17" i="1"/>
  <c r="L17" i="1" s="1"/>
  <c r="M17" i="1" s="1"/>
  <c r="K18" i="1" a="1"/>
  <c r="K18" i="1"/>
  <c r="L18" i="1" s="1"/>
  <c r="M18" i="1" s="1"/>
  <c r="K19" i="1" a="1"/>
  <c r="K19" i="1"/>
  <c r="L19" i="1" s="1"/>
  <c r="M19" i="1" s="1"/>
  <c r="K20" i="1" a="1"/>
  <c r="K20" i="1"/>
  <c r="L20" i="1" s="1"/>
  <c r="M20" i="1" s="1"/>
  <c r="K21" i="1" a="1"/>
  <c r="K21" i="1"/>
  <c r="L21" i="1" s="1"/>
  <c r="M21" i="1" s="1"/>
  <c r="K22" i="1" a="1"/>
  <c r="K22" i="1"/>
  <c r="L22" i="1" s="1"/>
  <c r="M22" i="1" s="1"/>
  <c r="K23" i="1" a="1"/>
  <c r="K23" i="1"/>
  <c r="L23" i="1" s="1"/>
  <c r="M23" i="1" s="1"/>
  <c r="K24" i="1" a="1"/>
  <c r="K24" i="1"/>
  <c r="L24" i="1" s="1"/>
  <c r="M24" i="1" s="1"/>
  <c r="K25" i="1" a="1"/>
  <c r="K25" i="1"/>
  <c r="L25" i="1" s="1"/>
  <c r="M25" i="1" s="1"/>
  <c r="K26" i="1" a="1"/>
  <c r="K26" i="1"/>
  <c r="L26" i="1" s="1"/>
  <c r="M26" i="1" s="1"/>
  <c r="K27" i="1" a="1"/>
  <c r="K27" i="1"/>
  <c r="L27" i="1" s="1"/>
  <c r="M27" i="1" s="1"/>
  <c r="K28" i="1" a="1"/>
  <c r="K28" i="1"/>
  <c r="L28" i="1" s="1"/>
  <c r="M28" i="1" s="1"/>
  <c r="K29" i="1" a="1"/>
  <c r="K29" i="1"/>
  <c r="L29" i="1" s="1"/>
  <c r="M29" i="1" s="1"/>
  <c r="K30" i="1" a="1"/>
  <c r="K30" i="1"/>
  <c r="L30" i="1" s="1"/>
  <c r="M30" i="1" s="1"/>
  <c r="K31" i="1" a="1"/>
  <c r="K31" i="1"/>
  <c r="L31" i="1" s="1"/>
  <c r="M31" i="1" s="1"/>
  <c r="K32" i="1" a="1"/>
  <c r="K32" i="1"/>
  <c r="L32" i="1" s="1"/>
  <c r="M32" i="1" s="1"/>
  <c r="K33" i="1" a="1"/>
  <c r="K33" i="1"/>
  <c r="L33" i="1" s="1"/>
  <c r="M33" i="1" s="1"/>
  <c r="K34" i="1" a="1"/>
  <c r="K34" i="1"/>
  <c r="L34" i="1" s="1"/>
  <c r="M34" i="1" s="1"/>
  <c r="K35" i="1" a="1"/>
  <c r="K35" i="1"/>
  <c r="L35" i="1" s="1"/>
  <c r="M35" i="1" s="1"/>
  <c r="K36" i="1" a="1"/>
  <c r="K36" i="1"/>
  <c r="L36" i="1" s="1"/>
  <c r="M36" i="1" s="1"/>
  <c r="K37" i="1" a="1"/>
  <c r="K37" i="1"/>
  <c r="L37" i="1" s="1"/>
  <c r="M37" i="1" s="1"/>
  <c r="K38" i="1" a="1"/>
  <c r="K38" i="1"/>
  <c r="L38" i="1" s="1"/>
  <c r="M38" i="1" s="1"/>
  <c r="K39" i="1" a="1"/>
  <c r="K39" i="1"/>
  <c r="L39" i="1" s="1"/>
  <c r="M39" i="1" s="1"/>
  <c r="K40" i="1" a="1"/>
  <c r="K40" i="1"/>
  <c r="L40" i="1" s="1"/>
  <c r="M40" i="1" s="1"/>
  <c r="K41" i="1" a="1"/>
  <c r="K41" i="1"/>
  <c r="L41" i="1" s="1"/>
  <c r="M41" i="1" s="1"/>
  <c r="K42" i="1" a="1"/>
  <c r="K42" i="1"/>
  <c r="L42" i="1" s="1"/>
  <c r="M42" i="1" s="1"/>
  <c r="K43" i="1" a="1"/>
  <c r="K43" i="1"/>
  <c r="L43" i="1" s="1"/>
  <c r="M43" i="1" s="1"/>
  <c r="K44" i="1" a="1"/>
  <c r="K44" i="1"/>
  <c r="L44" i="1" s="1"/>
  <c r="M44" i="1" s="1"/>
  <c r="K45" i="1" a="1"/>
  <c r="K45" i="1"/>
  <c r="L45" i="1" s="1"/>
  <c r="M45" i="1" s="1"/>
  <c r="K46" i="1" a="1"/>
  <c r="K46" i="1"/>
  <c r="L46" i="1" s="1"/>
  <c r="M46" i="1" s="1"/>
  <c r="K47" i="1" a="1"/>
  <c r="K47" i="1"/>
  <c r="L47" i="1" s="1"/>
  <c r="M47" i="1" s="1"/>
  <c r="K48" i="1" a="1"/>
  <c r="K48" i="1"/>
  <c r="L48" i="1" s="1"/>
  <c r="M48" i="1" s="1"/>
  <c r="K49" i="1" a="1"/>
  <c r="K49" i="1"/>
  <c r="L49" i="1" s="1"/>
  <c r="M49" i="1" s="1"/>
  <c r="K50" i="1" a="1"/>
  <c r="K50" i="1"/>
  <c r="L50" i="1" s="1"/>
  <c r="M50" i="1" s="1"/>
  <c r="K51" i="1" a="1"/>
  <c r="K51" i="1"/>
  <c r="L51" i="1" s="1"/>
  <c r="M51" i="1" s="1"/>
  <c r="K52" i="1" a="1"/>
  <c r="K52" i="1"/>
  <c r="L52" i="1" s="1"/>
  <c r="M52" i="1" s="1"/>
  <c r="K53" i="1" a="1"/>
  <c r="K53" i="1"/>
  <c r="L53" i="1" s="1"/>
  <c r="M53" i="1" s="1"/>
  <c r="K54" i="1" a="1"/>
  <c r="K54" i="1"/>
  <c r="L54" i="1" s="1"/>
  <c r="M54" i="1" s="1"/>
  <c r="K55" i="1" a="1"/>
  <c r="K55" i="1"/>
  <c r="L55" i="1" s="1"/>
  <c r="M55" i="1" s="1"/>
  <c r="K56" i="1" a="1"/>
  <c r="K56" i="1"/>
  <c r="L56" i="1" s="1"/>
  <c r="M56" i="1" s="1"/>
  <c r="K57" i="1" a="1"/>
  <c r="K57" i="1"/>
  <c r="L57" i="1" s="1"/>
  <c r="M57" i="1" s="1"/>
  <c r="K58" i="1" a="1"/>
  <c r="K58" i="1"/>
  <c r="L58" i="1" s="1"/>
  <c r="M58" i="1" s="1"/>
  <c r="K59" i="1" a="1"/>
  <c r="K59" i="1"/>
  <c r="L59" i="1" s="1"/>
  <c r="M59" i="1" s="1"/>
  <c r="K60" i="1" a="1"/>
  <c r="K60" i="1"/>
  <c r="L60" i="1" s="1"/>
  <c r="M60" i="1" s="1"/>
  <c r="K61" i="1" a="1"/>
  <c r="K61" i="1"/>
  <c r="L61" i="1" s="1"/>
  <c r="M61" i="1" s="1"/>
  <c r="K62" i="1" a="1"/>
  <c r="K62" i="1"/>
  <c r="L62" i="1" s="1"/>
  <c r="M62" i="1" s="1"/>
  <c r="K63" i="1" a="1"/>
  <c r="K63" i="1"/>
  <c r="L63" i="1" s="1"/>
  <c r="M63" i="1" s="1"/>
  <c r="K64" i="1" a="1"/>
  <c r="K64" i="1"/>
  <c r="L64" i="1" s="1"/>
  <c r="M64" i="1" s="1"/>
  <c r="K65" i="1" a="1"/>
  <c r="K65" i="1"/>
  <c r="L65" i="1" s="1"/>
  <c r="M65" i="1" s="1"/>
  <c r="K66" i="1" a="1"/>
  <c r="K66" i="1"/>
  <c r="L66" i="1" s="1"/>
  <c r="M66" i="1" s="1"/>
  <c r="K67" i="1" a="1"/>
  <c r="K67" i="1"/>
  <c r="L67" i="1" s="1"/>
  <c r="M67" i="1" s="1"/>
  <c r="K68" i="1" a="1"/>
  <c r="K68" i="1"/>
  <c r="L68" i="1" s="1"/>
  <c r="M68" i="1" s="1"/>
  <c r="K69" i="1" a="1"/>
  <c r="K69" i="1"/>
  <c r="L69" i="1" s="1"/>
  <c r="M69" i="1" s="1"/>
  <c r="K70" i="1" a="1"/>
  <c r="K70" i="1"/>
  <c r="L70" i="1" s="1"/>
  <c r="M70" i="1" s="1"/>
  <c r="K71" i="1" a="1"/>
  <c r="K71" i="1"/>
  <c r="L71" i="1" s="1"/>
  <c r="M71" i="1" s="1"/>
  <c r="K72" i="1" a="1"/>
  <c r="K72" i="1"/>
  <c r="L72" i="1" s="1"/>
  <c r="M72" i="1" s="1"/>
  <c r="K73" i="1" a="1"/>
  <c r="K73" i="1"/>
  <c r="L73" i="1" s="1"/>
  <c r="M73" i="1" s="1"/>
  <c r="K74" i="1" a="1"/>
  <c r="K74" i="1"/>
  <c r="L74" i="1" s="1"/>
  <c r="M74" i="1" s="1"/>
  <c r="K75" i="1" a="1"/>
  <c r="K75" i="1"/>
  <c r="L75" i="1" s="1"/>
  <c r="M75" i="1" s="1"/>
  <c r="K76" i="1" a="1"/>
  <c r="K76" i="1"/>
  <c r="L76" i="1" s="1"/>
  <c r="M76" i="1" s="1"/>
  <c r="K77" i="1" a="1"/>
  <c r="K77" i="1"/>
  <c r="L77" i="1" s="1"/>
  <c r="M77" i="1" s="1"/>
  <c r="K78" i="1" a="1"/>
  <c r="K78" i="1"/>
  <c r="L78" i="1" s="1"/>
  <c r="M78" i="1" s="1"/>
  <c r="K79" i="1" a="1"/>
  <c r="K79" i="1"/>
  <c r="L79" i="1" s="1"/>
  <c r="M79" i="1" s="1"/>
  <c r="K80" i="1" a="1"/>
  <c r="K80" i="1"/>
  <c r="L80" i="1" s="1"/>
  <c r="M80" i="1" s="1"/>
  <c r="K81" i="1" a="1"/>
  <c r="K81" i="1"/>
  <c r="L81" i="1" s="1"/>
  <c r="M81" i="1" s="1"/>
  <c r="K82" i="1" a="1"/>
  <c r="K82" i="1"/>
  <c r="L82" i="1" s="1"/>
  <c r="M82" i="1" s="1"/>
  <c r="K83" i="1" a="1"/>
  <c r="K83" i="1"/>
  <c r="L83" i="1" s="1"/>
  <c r="M83" i="1" s="1"/>
  <c r="K84" i="1" a="1"/>
  <c r="K84" i="1"/>
  <c r="L84" i="1" s="1"/>
  <c r="M84" i="1" s="1"/>
  <c r="K85" i="1" a="1"/>
  <c r="K85" i="1"/>
  <c r="L85" i="1" s="1"/>
  <c r="M85" i="1" s="1"/>
  <c r="K86" i="1" a="1"/>
  <c r="K86" i="1"/>
  <c r="L86" i="1" s="1"/>
  <c r="M86" i="1" s="1"/>
  <c r="K87" i="1" a="1"/>
  <c r="K87" i="1"/>
  <c r="L87" i="1" s="1"/>
  <c r="M87" i="1" s="1"/>
  <c r="K88" i="1" a="1"/>
  <c r="K88" i="1"/>
  <c r="L88" i="1" s="1"/>
  <c r="M88" i="1" s="1"/>
  <c r="K89" i="1" a="1"/>
  <c r="K89" i="1"/>
  <c r="L89" i="1" s="1"/>
  <c r="M89" i="1" s="1"/>
  <c r="K90" i="1" a="1"/>
  <c r="K90" i="1"/>
  <c r="L90" i="1" s="1"/>
  <c r="M90" i="1" s="1"/>
  <c r="K91" i="1" a="1"/>
  <c r="K91" i="1"/>
  <c r="L91" i="1" s="1"/>
  <c r="M91" i="1" s="1"/>
  <c r="K92" i="1" a="1"/>
  <c r="K92" i="1"/>
  <c r="L92" i="1" s="1"/>
  <c r="M92" i="1" s="1"/>
  <c r="K93" i="1" a="1"/>
  <c r="K93" i="1"/>
  <c r="L93" i="1" s="1"/>
  <c r="M93" i="1" s="1"/>
  <c r="K94" i="1" a="1"/>
  <c r="K94" i="1"/>
  <c r="L94" i="1" s="1"/>
  <c r="M94" i="1" s="1"/>
  <c r="K95" i="1" a="1"/>
  <c r="K95" i="1"/>
  <c r="L95" i="1" s="1"/>
  <c r="M95" i="1" s="1"/>
  <c r="K96" i="1" a="1"/>
  <c r="K96" i="1"/>
  <c r="L96" i="1" s="1"/>
  <c r="M96" i="1" s="1"/>
  <c r="K97" i="1" a="1"/>
  <c r="K97" i="1"/>
  <c r="L97" i="1" s="1"/>
  <c r="M97" i="1" s="1"/>
  <c r="K98" i="1" a="1"/>
  <c r="K98" i="1"/>
  <c r="L98" i="1" s="1"/>
  <c r="M98" i="1" s="1"/>
  <c r="K99" i="1" a="1"/>
  <c r="K99" i="1"/>
  <c r="L99" i="1" s="1"/>
  <c r="M99" i="1" s="1"/>
  <c r="K100" i="1" a="1"/>
  <c r="K100" i="1"/>
  <c r="L100" i="1" s="1"/>
  <c r="M100" i="1" s="1"/>
  <c r="K101" i="1" a="1"/>
  <c r="K101" i="1"/>
  <c r="L101" i="1" s="1"/>
  <c r="M101" i="1" s="1"/>
  <c r="K102" i="1" a="1"/>
  <c r="K102" i="1"/>
  <c r="L102" i="1" s="1"/>
  <c r="M102" i="1" s="1"/>
  <c r="K103" i="1" a="1"/>
  <c r="K103" i="1"/>
  <c r="L103" i="1" s="1"/>
  <c r="M103" i="1" s="1"/>
  <c r="K104" i="1" a="1"/>
  <c r="K104" i="1"/>
  <c r="L104" i="1" s="1"/>
  <c r="M104" i="1" s="1"/>
  <c r="K105" i="1" a="1"/>
  <c r="K105" i="1"/>
  <c r="L105" i="1" s="1"/>
  <c r="M105" i="1" s="1"/>
  <c r="K106" i="1" a="1"/>
  <c r="K106" i="1"/>
  <c r="L106" i="1" s="1"/>
  <c r="M106" i="1" s="1"/>
  <c r="K107" i="1" a="1"/>
  <c r="K107" i="1"/>
  <c r="L107" i="1" s="1"/>
  <c r="M107" i="1" s="1"/>
  <c r="K108" i="1" a="1"/>
  <c r="K108" i="1"/>
  <c r="L108" i="1" s="1"/>
  <c r="M108" i="1" s="1"/>
  <c r="K109" i="1" a="1"/>
  <c r="K109" i="1"/>
  <c r="L109" i="1" s="1"/>
  <c r="M109" i="1" s="1"/>
  <c r="K110" i="1" a="1"/>
  <c r="K110" i="1"/>
  <c r="L110" i="1" s="1"/>
  <c r="M110" i="1" s="1"/>
  <c r="K111" i="1" a="1"/>
  <c r="K111" i="1"/>
  <c r="L111" i="1" s="1"/>
  <c r="M111" i="1" s="1"/>
  <c r="K112" i="1" a="1"/>
  <c r="K112" i="1"/>
  <c r="L112" i="1" s="1"/>
  <c r="M112" i="1" s="1"/>
  <c r="K113" i="1" a="1"/>
  <c r="K113" i="1"/>
  <c r="L113" i="1" s="1"/>
  <c r="M113" i="1" s="1"/>
  <c r="K114" i="1" a="1"/>
  <c r="K114" i="1"/>
  <c r="L114" i="1" s="1"/>
  <c r="M114" i="1" s="1"/>
  <c r="K115" i="1" a="1"/>
  <c r="K115" i="1"/>
  <c r="L115" i="1" s="1"/>
  <c r="M115" i="1" s="1"/>
  <c r="K116" i="1" a="1"/>
  <c r="K116" i="1"/>
  <c r="L116" i="1" s="1"/>
  <c r="M116" i="1" s="1"/>
  <c r="K117" i="1" a="1"/>
  <c r="K117" i="1"/>
  <c r="L117" i="1" s="1"/>
  <c r="M117" i="1" s="1"/>
  <c r="K118" i="1" a="1"/>
  <c r="K118" i="1"/>
  <c r="L118" i="1" s="1"/>
  <c r="M118" i="1" s="1"/>
  <c r="K119" i="1" a="1"/>
  <c r="K119" i="1"/>
  <c r="L119" i="1" s="1"/>
  <c r="M119" i="1" s="1"/>
  <c r="K120" i="1" a="1"/>
  <c r="K120" i="1"/>
  <c r="L120" i="1" s="1"/>
  <c r="M120" i="1" s="1"/>
  <c r="K121" i="1" a="1"/>
  <c r="K121" i="1"/>
  <c r="L121" i="1" s="1"/>
  <c r="M121" i="1" s="1"/>
  <c r="K122" i="1" a="1"/>
  <c r="K122" i="1"/>
  <c r="L122" i="1" s="1"/>
  <c r="M122" i="1" s="1"/>
  <c r="K123" i="1" a="1"/>
  <c r="K123" i="1"/>
  <c r="L123" i="1" s="1"/>
  <c r="M123" i="1" s="1"/>
  <c r="K124" i="1" a="1"/>
  <c r="K124" i="1"/>
  <c r="L124" i="1" s="1"/>
  <c r="M124" i="1" s="1"/>
  <c r="K125" i="1" a="1"/>
  <c r="K125" i="1"/>
  <c r="L125" i="1" s="1"/>
  <c r="M125" i="1" s="1"/>
  <c r="K126" i="1" a="1"/>
  <c r="K126" i="1"/>
  <c r="L126" i="1" s="1"/>
  <c r="M126" i="1" s="1"/>
  <c r="K127" i="1" a="1"/>
  <c r="K127" i="1"/>
  <c r="L127" i="1" s="1"/>
  <c r="M127" i="1" s="1"/>
  <c r="K128" i="1" a="1"/>
  <c r="K128" i="1"/>
  <c r="L128" i="1" s="1"/>
  <c r="M128" i="1" s="1"/>
  <c r="K129" i="1" a="1"/>
  <c r="K129" i="1"/>
  <c r="L129" i="1" s="1"/>
  <c r="M129" i="1" s="1"/>
  <c r="K130" i="1" a="1"/>
  <c r="K130" i="1"/>
  <c r="L130" i="1" s="1"/>
  <c r="M130" i="1" s="1"/>
  <c r="K131" i="1" a="1"/>
  <c r="K131" i="1"/>
  <c r="L131" i="1" s="1"/>
  <c r="M131" i="1" s="1"/>
  <c r="K132" i="1" a="1"/>
  <c r="K132" i="1"/>
  <c r="L132" i="1" s="1"/>
  <c r="M132" i="1" s="1"/>
  <c r="K133" i="1" a="1"/>
  <c r="K133" i="1"/>
  <c r="L133" i="1" s="1"/>
  <c r="M133" i="1" s="1"/>
  <c r="K134" i="1" a="1"/>
  <c r="K134" i="1"/>
  <c r="L134" i="1" s="1"/>
  <c r="M134" i="1" s="1"/>
  <c r="K135" i="1" a="1"/>
  <c r="K135" i="1"/>
  <c r="L135" i="1" s="1"/>
  <c r="M135" i="1" s="1"/>
  <c r="K136" i="1" a="1"/>
  <c r="K136" i="1"/>
  <c r="L136" i="1" s="1"/>
  <c r="M136" i="1" s="1"/>
  <c r="K137" i="1" a="1"/>
  <c r="K137" i="1"/>
  <c r="L137" i="1" s="1"/>
  <c r="M137" i="1" s="1"/>
  <c r="K138" i="1" a="1"/>
  <c r="K138" i="1"/>
  <c r="L138" i="1" s="1"/>
  <c r="M138" i="1" s="1"/>
  <c r="K139" i="1" a="1"/>
  <c r="K139" i="1"/>
  <c r="L139" i="1" s="1"/>
  <c r="M139" i="1" s="1"/>
  <c r="K140" i="1" a="1"/>
  <c r="K140" i="1"/>
  <c r="L140" i="1" s="1"/>
  <c r="M140" i="1" s="1"/>
  <c r="K141" i="1" a="1"/>
  <c r="K141" i="1"/>
  <c r="L141" i="1" s="1"/>
  <c r="M141" i="1" s="1"/>
  <c r="K142" i="1" a="1"/>
  <c r="K142" i="1"/>
  <c r="L142" i="1" s="1"/>
  <c r="M142" i="1" s="1"/>
  <c r="K143" i="1" a="1"/>
  <c r="K143" i="1"/>
  <c r="L143" i="1" s="1"/>
  <c r="M143" i="1" s="1"/>
  <c r="K144" i="1" a="1"/>
  <c r="K144" i="1"/>
  <c r="L144" i="1" s="1"/>
  <c r="M144" i="1" s="1"/>
  <c r="K145" i="1" a="1"/>
  <c r="K145" i="1"/>
  <c r="L145" i="1" s="1"/>
  <c r="M145" i="1" s="1"/>
  <c r="K146" i="1" a="1"/>
  <c r="K146" i="1"/>
  <c r="L146" i="1" s="1"/>
  <c r="M146" i="1" s="1"/>
  <c r="K147" i="1" a="1"/>
  <c r="K147" i="1"/>
  <c r="L147" i="1" s="1"/>
  <c r="M147" i="1" s="1"/>
  <c r="K148" i="1" a="1"/>
  <c r="K148" i="1"/>
  <c r="L148" i="1" s="1"/>
  <c r="M148" i="1" s="1"/>
  <c r="K149" i="1" a="1"/>
  <c r="K149" i="1"/>
  <c r="L149" i="1" s="1"/>
  <c r="M149" i="1" s="1"/>
  <c r="K150" i="1" a="1"/>
  <c r="K150" i="1"/>
  <c r="L150" i="1" s="1"/>
  <c r="M150" i="1" s="1"/>
  <c r="K151" i="1" a="1"/>
  <c r="K151" i="1"/>
  <c r="L151" i="1" s="1"/>
  <c r="M151" i="1" s="1"/>
  <c r="K2" i="1" a="1"/>
  <c r="K2" i="1"/>
  <c r="L2" i="1" s="1"/>
  <c r="M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26E6B0-1525-49CC-8F14-2ABC2F8068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07E0C23-1B9B-42AF-85AE-8E4D8B3C8922}" name="WorksheetConnection_HR_Analytics_Capstone_Raw_Data2.xlsx!Table1" type="102" refreshedVersion="8" minRefreshableVersion="5">
    <extLst>
      <ext xmlns:x15="http://schemas.microsoft.com/office/spreadsheetml/2010/11/main" uri="{DE250136-89BD-433C-8126-D09CA5730AF9}">
        <x15:connection id="Table1" autoDelete="1">
          <x15:rangePr sourceName="_xlcn.WorksheetConnection_HR_Analytics_Capstone_Raw_Data2.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<sst xmlns="http://schemas.openxmlformats.org/spreadsheetml/2006/main" count="778" uniqueCount="336">
  <si>
    <t>Emp ID</t>
  </si>
  <si>
    <t>Employment Status</t>
  </si>
  <si>
    <t>EMP127</t>
  </si>
  <si>
    <t>IT02</t>
  </si>
  <si>
    <t>EMP046</t>
  </si>
  <si>
    <t>MKT04</t>
  </si>
  <si>
    <t>EMP134</t>
  </si>
  <si>
    <t>EMP139</t>
  </si>
  <si>
    <t>FIN03</t>
  </si>
  <si>
    <t>EMP112</t>
  </si>
  <si>
    <t>Left</t>
  </si>
  <si>
    <t>EMP030</t>
  </si>
  <si>
    <t>OPS06</t>
  </si>
  <si>
    <t>EMP096</t>
  </si>
  <si>
    <t>EMP098</t>
  </si>
  <si>
    <t>EMP095</t>
  </si>
  <si>
    <t>EMP140</t>
  </si>
  <si>
    <t>SAL05</t>
  </si>
  <si>
    <t>Active</t>
  </si>
  <si>
    <t>EMP020</t>
  </si>
  <si>
    <t>EMP057</t>
  </si>
  <si>
    <t>EMP016</t>
  </si>
  <si>
    <t>EMP070</t>
  </si>
  <si>
    <t>EMP025</t>
  </si>
  <si>
    <t>EMP031</t>
  </si>
  <si>
    <t>EMP126</t>
  </si>
  <si>
    <t>EMP109</t>
  </si>
  <si>
    <t>EMP066</t>
  </si>
  <si>
    <t>EMP120</t>
  </si>
  <si>
    <t>EMP019</t>
  </si>
  <si>
    <t>EMP013</t>
  </si>
  <si>
    <t>EMP010</t>
  </si>
  <si>
    <t>EMP032</t>
  </si>
  <si>
    <t>EMP082</t>
  </si>
  <si>
    <t>EMP052</t>
  </si>
  <si>
    <t>EMP129</t>
  </si>
  <si>
    <t>EMP146</t>
  </si>
  <si>
    <t>EMP099</t>
  </si>
  <si>
    <t>EMP015</t>
  </si>
  <si>
    <t>EMP076</t>
  </si>
  <si>
    <t>EMP137</t>
  </si>
  <si>
    <t>EMP056</t>
  </si>
  <si>
    <t>EMP125</t>
  </si>
  <si>
    <t>HR01</t>
  </si>
  <si>
    <t>EMP085</t>
  </si>
  <si>
    <t>EMP106</t>
  </si>
  <si>
    <t>EMP043</t>
  </si>
  <si>
    <t>EMP068</t>
  </si>
  <si>
    <t>06/29/2022</t>
  </si>
  <si>
    <t>EMP128</t>
  </si>
  <si>
    <t>EMP027</t>
  </si>
  <si>
    <t>09/09/2017</t>
  </si>
  <si>
    <t>EMP136</t>
  </si>
  <si>
    <t>EMP079</t>
  </si>
  <si>
    <t>EMP149</t>
  </si>
  <si>
    <t>Resigned</t>
  </si>
  <si>
    <t>EMP037</t>
  </si>
  <si>
    <t>EMP077</t>
  </si>
  <si>
    <t>07/14/2016</t>
  </si>
  <si>
    <t>EMP023</t>
  </si>
  <si>
    <t>EMP133</t>
  </si>
  <si>
    <t>EMP141</t>
  </si>
  <si>
    <t>EMP012</t>
  </si>
  <si>
    <t>EMP080</t>
  </si>
  <si>
    <t>EMP069</t>
  </si>
  <si>
    <t>EMP150</t>
  </si>
  <si>
    <t>EMP028</t>
  </si>
  <si>
    <t>10/07/2019</t>
  </si>
  <si>
    <t>EMP087</t>
  </si>
  <si>
    <t>EMP119</t>
  </si>
  <si>
    <t>EMP042</t>
  </si>
  <si>
    <t>EMP005</t>
  </si>
  <si>
    <t>EMP033</t>
  </si>
  <si>
    <t>02/07/2018</t>
  </si>
  <si>
    <t>EMP061</t>
  </si>
  <si>
    <t>EMP102</t>
  </si>
  <si>
    <t>EMP067</t>
  </si>
  <si>
    <t>EMP017</t>
  </si>
  <si>
    <t>EMP123</t>
  </si>
  <si>
    <t>EMP011</t>
  </si>
  <si>
    <t>EMP091</t>
  </si>
  <si>
    <t>EMP145</t>
  </si>
  <si>
    <t>11/11/2016</t>
  </si>
  <si>
    <t>EMP001</t>
  </si>
  <si>
    <t>EMP113</t>
  </si>
  <si>
    <t>EMP065</t>
  </si>
  <si>
    <t>EMP045</t>
  </si>
  <si>
    <t>EMP083</t>
  </si>
  <si>
    <t>EMP029</t>
  </si>
  <si>
    <t>EMP041</t>
  </si>
  <si>
    <t>EMP026</t>
  </si>
  <si>
    <t>EMP024</t>
  </si>
  <si>
    <t>EMP111</t>
  </si>
  <si>
    <t>EMP040</t>
  </si>
  <si>
    <t>02/19/2017</t>
  </si>
  <si>
    <t>EMP086</t>
  </si>
  <si>
    <t>09/07/2021</t>
  </si>
  <si>
    <t>EMP124</t>
  </si>
  <si>
    <t>EMP132</t>
  </si>
  <si>
    <t>EMP048</t>
  </si>
  <si>
    <t>09/29/2018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</si>
  <si>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</si>
  <si>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</si>
  <si>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</si>
  <si>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</si>
  <si>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</si>
  <si>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</si>
  <si>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</si>
  <si>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</si>
  <si>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</si>
  <si>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</si>
  <si>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</si>
  <si>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</si>
  <si>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</si>
  <si>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</si>
  <si>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</si>
  <si>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</si>
  <si>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</si>
  <si>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</si>
  <si>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03/08/2019</t>
  </si>
  <si>
    <t>EMP047</t>
  </si>
  <si>
    <t>EMP008</t>
  </si>
  <si>
    <t>EMP044</t>
  </si>
  <si>
    <t>EMP071</t>
  </si>
  <si>
    <t>EMP115</t>
  </si>
  <si>
    <t>EMP092</t>
  </si>
  <si>
    <t>05/22/2016</t>
  </si>
  <si>
    <t>EMP084</t>
  </si>
  <si>
    <t>EMP142</t>
  </si>
  <si>
    <t>EMP143</t>
  </si>
  <si>
    <t>EMP090</t>
  </si>
  <si>
    <t>EMP009</t>
  </si>
  <si>
    <t>EMP014</t>
  </si>
  <si>
    <t>EMP060</t>
  </si>
  <si>
    <t>EMP135</t>
  </si>
  <si>
    <t>EMP004</t>
  </si>
  <si>
    <t>07/10/2016</t>
  </si>
  <si>
    <t>EMP018</t>
  </si>
  <si>
    <t>EMP039</t>
  </si>
  <si>
    <t>05/10/2017</t>
  </si>
  <si>
    <t>EMP073</t>
  </si>
  <si>
    <t>EMP138</t>
  </si>
  <si>
    <t>04/20/2023</t>
  </si>
  <si>
    <t>EMP007</t>
  </si>
  <si>
    <t>EMP144</t>
  </si>
  <si>
    <t>EMP101</t>
  </si>
  <si>
    <t>EMP003</t>
  </si>
  <si>
    <t>EMP121</t>
  </si>
  <si>
    <t>EMP064</t>
  </si>
  <si>
    <t>EMP116</t>
  </si>
  <si>
    <t>EMP055</t>
  </si>
  <si>
    <t>EMP108</t>
  </si>
  <si>
    <t>EMP051</t>
  </si>
  <si>
    <t>EMP059</t>
  </si>
  <si>
    <t>EMP049</t>
  </si>
  <si>
    <t>EMP089</t>
  </si>
  <si>
    <t>05/11/2023</t>
  </si>
  <si>
    <t>EMP022</t>
  </si>
  <si>
    <t>EMP058</t>
  </si>
  <si>
    <t>EMP130</t>
  </si>
  <si>
    <t>08/29/2021</t>
  </si>
  <si>
    <t>EMP038</t>
  </si>
  <si>
    <t>EMP148</t>
  </si>
  <si>
    <t>EMP002</t>
  </si>
  <si>
    <t>EMP053</t>
  </si>
  <si>
    <t>10/22/2015</t>
  </si>
  <si>
    <t>EMP131</t>
  </si>
  <si>
    <t>EMP104</t>
  </si>
  <si>
    <t>EMP100</t>
  </si>
  <si>
    <t>EMP117</t>
  </si>
  <si>
    <t>EMP088</t>
  </si>
  <si>
    <t>EMP075</t>
  </si>
  <si>
    <t>EMP122</t>
  </si>
  <si>
    <t>01/12/2019</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</si>
  <si>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</si>
  <si>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</si>
  <si>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</si>
  <si>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</si>
  <si>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</si>
  <si>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</si>
  <si>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</si>
  <si>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</si>
  <si>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</si>
  <si>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</si>
  <si>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</si>
  <si>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</si>
  <si>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</si>
  <si>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</si>
  <si>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</si>
  <si>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</si>
  <si>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</si>
  <si>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</si>
  <si>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</si>
  <si>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</si>
  <si>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</si>
  <si>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</si>
  <si>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Full_Name</t>
  </si>
  <si>
    <t>Emily Brown</t>
  </si>
  <si>
    <t>Richard Hernandez</t>
  </si>
  <si>
    <t>Emily Gonzalez</t>
  </si>
  <si>
    <t>John Martinez</t>
  </si>
  <si>
    <t>Thomas Smith</t>
  </si>
  <si>
    <t>Emily Johnson</t>
  </si>
  <si>
    <t>John Wilson</t>
  </si>
  <si>
    <t>Jessica Smith</t>
  </si>
  <si>
    <t xml:space="preserve"> Rodriguez</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</si>
  <si>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</si>
  <si>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</si>
  <si>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</si>
  <si>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</si>
  <si>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</si>
  <si>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</si>
  <si>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</si>
  <si>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</si>
  <si>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</si>
  <si>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</si>
  <si>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</si>
  <si>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</si>
  <si>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</si>
  <si>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</si>
  <si>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</si>
  <si>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 xml:space="preserve"> Williams</t>
  </si>
  <si>
    <t>Michael Wilson</t>
  </si>
  <si>
    <t>John Rodriguez</t>
  </si>
  <si>
    <t>Thomas Hernandez</t>
  </si>
  <si>
    <t>Michael Johnson</t>
  </si>
  <si>
    <t>Sarah Brown</t>
  </si>
  <si>
    <t>Jane Martinez</t>
  </si>
  <si>
    <t>Emily Jones</t>
  </si>
  <si>
    <t xml:space="preserve"> Brown</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</si>
  <si>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</si>
  <si>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</si>
  <si>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</si>
  <si>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</si>
  <si>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</si>
  <si>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</si>
  <si>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</si>
  <si>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</si>
  <si>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</si>
  <si>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</si>
  <si>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</si>
  <si>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</si>
  <si>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</si>
  <si>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</si>
  <si>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</si>
  <si>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</si>
  <si>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</si>
  <si>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</si>
  <si>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</si>
  <si>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</si>
  <si>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</si>
  <si>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</si>
  <si>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</si>
  <si>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</si>
  <si>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</si>
  <si>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</si>
  <si>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</si>
  <si>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</si>
  <si>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</si>
  <si>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</si>
  <si>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</si>
  <si>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</si>
  <si>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</si>
  <si>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</si>
  <si>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</si>
  <si>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</si>
  <si>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</si>
  <si>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</si>
  <si>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</si>
  <si>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</si>
  <si>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</si>
  <si>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</si>
  <si>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</si>
  <si>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 xml:space="preserve"> Smith</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</si>
  <si>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</si>
  <si>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</si>
  <si>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</si>
  <si>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</si>
  <si>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</si>
  <si>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</si>
  <si>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</si>
  <si>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</si>
  <si>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</si>
  <si>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</si>
  <si>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</si>
  <si>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</si>
  <si>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</si>
  <si>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</si>
  <si>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</si>
  <si>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</si>
  <si>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</si>
  <si>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</si>
  <si>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</si>
  <si>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</si>
  <si>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</si>
  <si>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</si>
  <si>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</si>
  <si>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</si>
  <si>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</si>
  <si>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</si>
  <si>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</si>
  <si>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</si>
  <si>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 xml:space="preserve"> Jones</t>
  </si>
  <si>
    <t>William Rodriguez</t>
  </si>
  <si>
    <t>Melissa Miller</t>
  </si>
  <si>
    <t>Emily Martinez</t>
  </si>
  <si>
    <t>Department</t>
  </si>
  <si>
    <t>Years of Service</t>
  </si>
  <si>
    <t xml:space="preserve">Hire Date  </t>
  </si>
  <si>
    <t xml:space="preserve">Salary      </t>
  </si>
  <si>
    <t xml:space="preserve">Eligible Bonus Amount   </t>
  </si>
  <si>
    <t>Row Labels</t>
  </si>
  <si>
    <t>Grand Total</t>
  </si>
  <si>
    <t>Headcount &amp; Salary</t>
  </si>
  <si>
    <t>Average of Salary</t>
  </si>
  <si>
    <t>Attrition Rate</t>
  </si>
  <si>
    <t>Column Labels</t>
  </si>
  <si>
    <t>Count of Emp ID</t>
  </si>
  <si>
    <t xml:space="preserve">Performance by Status </t>
  </si>
  <si>
    <t>Column2</t>
  </si>
  <si>
    <t xml:space="preserve">Perf_Score         </t>
  </si>
  <si>
    <t>Departments</t>
  </si>
  <si>
    <t>Bonus Payout</t>
  </si>
  <si>
    <t>Bonus Amount</t>
  </si>
  <si>
    <t>Avg. Performance Score</t>
  </si>
  <si>
    <t>Department with highest</t>
  </si>
  <si>
    <t>No. of Headcounts</t>
  </si>
  <si>
    <t>No. of Headcount</t>
  </si>
  <si>
    <t>Headcounts</t>
  </si>
  <si>
    <t>Performance</t>
  </si>
  <si>
    <t>Total Bonus Amount</t>
  </si>
  <si>
    <t>HIghest Bonus Amount</t>
  </si>
  <si>
    <t>Employment Year</t>
  </si>
  <si>
    <t>Performance Band</t>
  </si>
  <si>
    <t>Avg. Bonus Amount</t>
  </si>
  <si>
    <t>Avg. Perf_Score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</si>
</sst>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m/dd/yy;@"/>
    <numFmt numFmtId="165" formatCode="&quot;$&quot;#,##0;[Red]&quot;$&quot;#,##0"/>
    <numFmt numFmtId="166" formatCode="&quot;$&quot;#,##0.00;[Red]&quot;$&quot;#,##0.00"/>
    <numFmt numFmtId="167" formatCode="&quot;$&quot;#,##0.00"/>
    <numFmt numFmtId="168" formatCode="0.0"/>
    <numFmt numFmtId="169" formatCode="&quot;$&quot;#,##0"/>
    <numFmt numFmtId="170" formatCode="dd/mm/yyyy;@"/>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64" fontId="0" fillId="0" borderId="0" xfId="0" applyNumberFormat="1" applyAlignment="1">
      <alignment horizontal="right"/>
    </xf>
    <xf numFmtId="0" fontId="2" fillId="0" borderId="0" xfId="0" applyFont="1"/>
    <xf numFmtId="0" fontId="0" fillId="0" borderId="0" xfId="0" applyFill="1"/>
    <xf numFmtId="166" fontId="0" fillId="0" borderId="0" xfId="0" applyNumberFormat="1"/>
    <xf numFmtId="0" fontId="0" fillId="0" borderId="0" xfId="0" applyFont="1" applyFill="1"/>
    <xf numFmtId="165" fontId="0" fillId="0" borderId="0" xfId="0" applyNumberFormat="1" applyFill="1" applyAlignment="1">
      <alignment horizontal="right"/>
    </xf>
    <xf numFmtId="0" fontId="1" fillId="0" borderId="2" xfId="0" applyFont="1" applyBorder="1" applyAlignment="1">
      <alignment horizontal="center" vertical="top"/>
    </xf>
    <xf numFmtId="164" fontId="1" fillId="0" borderId="2" xfId="0" applyNumberFormat="1" applyFont="1" applyBorder="1" applyAlignment="1">
      <alignment horizontal="right" vertical="top"/>
    </xf>
    <xf numFmtId="165" fontId="1" fillId="0" borderId="2" xfId="0" applyNumberFormat="1" applyFont="1" applyFill="1" applyBorder="1" applyAlignment="1">
      <alignment horizontal="right" vertical="top"/>
    </xf>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2" fillId="0" borderId="0" xfId="0" applyFont="1" applyAlignment="1">
      <alignment horizontal="center"/>
    </xf>
    <xf numFmtId="10" fontId="0" fillId="0" borderId="0" xfId="0" applyNumberFormat="1"/>
    <xf numFmtId="14" fontId="2" fillId="0" borderId="0" xfId="0" applyNumberFormat="1" applyFont="1" applyFill="1"/>
    <xf numFmtId="14" fontId="0" fillId="0" borderId="0" xfId="0" applyNumberFormat="1"/>
    <xf numFmtId="168" fontId="0" fillId="0" borderId="0" xfId="0" applyNumberFormat="1"/>
    <xf numFmtId="0" fontId="2" fillId="0" borderId="0" xfId="0" applyFont="1" applyAlignment="1">
      <alignment horizontal="center"/>
    </xf>
    <xf numFmtId="169" fontId="0" fillId="0" borderId="0" xfId="0" applyNumberFormat="1"/>
    <xf numFmtId="170" fontId="0" fillId="0" borderId="0" xfId="0" applyNumberFormat="1" applyAlignment="1">
      <alignment horizontal="right"/>
    </xf>
    <xf numFmtId="9" fontId="0" fillId="0" borderId="0" xfId="0" applyNumberFormat="1"/>
    <xf numFmtId="49" fontId="1" fillId="0" borderId="2" xfId="0" applyNumberFormat="1" applyFont="1" applyBorder="1" applyAlignment="1">
      <alignment horizontal="center" vertical="top"/>
    </xf>
    <xf numFmtId="49" fontId="0" fillId="0" borderId="0" xfId="0" applyNumberFormat="1"/>
    <xf numFmtId="1" fontId="1" fillId="0" borderId="2" xfId="0" applyNumberFormat="1" applyFont="1" applyBorder="1" applyAlignment="1">
      <alignment horizontal="center" vertical="top"/>
    </xf>
    <xf numFmtId="1" fontId="0" fillId="0" borderId="0" xfId="0" applyNumberFormat="1"/>
    <xf numFmtId="167" fontId="1" fillId="0" borderId="2" xfId="0" applyNumberFormat="1" applyFont="1" applyFill="1" applyBorder="1" applyAlignment="1">
      <alignment horizontal="center" vertical="top"/>
    </xf>
    <xf numFmtId="167" fontId="0" fillId="0" borderId="0" xfId="0" applyNumberFormat="1" applyFont="1" applyFill="1"/>
    <xf numFmtId="0" fontId="2" fillId="0" borderId="0" xfId="0" applyFont="1" applyAlignment="1">
      <alignment horizontal="center"/>
    </xf>
  </cellXfs>
  <cellStyles count="1">
    <cellStyle name="Normal" xfId="0" builtinId="0"/>
  </cellStyles>
  <dxfs count="366">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0" formatCode="General"/>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0" formatCode="General"/>
    </dxf>
    <dxf>
      <numFmt numFmtId="168" formatCode="0.0"/>
    </dxf>
    <dxf>
      <numFmt numFmtId="168" formatCode="0.0"/>
    </dxf>
    <dxf>
      <numFmt numFmtId="167" formatCode="&quot;$&quot;#,##0.00"/>
    </dxf>
    <dxf>
      <numFmt numFmtId="169" formatCode="&quot;$&quot;#,##0"/>
    </dxf>
    <dxf>
      <numFmt numFmtId="167" formatCode="&quot;$&quot;#,##0.0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169" formatCode="&quot;$&quot;#,##0"/>
    </dxf>
    <dxf>
      <numFmt numFmtId="167" formatCode="&quot;$&quot;#,##0.00"/>
    </dxf>
    <dxf>
      <numFmt numFmtId="0" formatCode="General"/>
    </dxf>
    <dxf>
      <numFmt numFmtId="1" formatCode="0"/>
    </dxf>
    <dxf>
      <numFmt numFmtId="14" formatCode="0.00%"/>
    </dxf>
    <dxf>
      <numFmt numFmtId="0" formatCode="General"/>
    </dxf>
    <dxf>
      <numFmt numFmtId="14" formatCode="0.00%"/>
    </dxf>
    <dxf>
      <numFmt numFmtId="167" formatCode="&quot;$&quot;#,##0.00"/>
    </dxf>
    <dxf>
      <numFmt numFmtId="168" formatCode="0.0"/>
    </dxf>
    <dxf>
      <numFmt numFmtId="167" formatCode="&quot;$&quot;#,##0.00"/>
    </dxf>
    <dxf>
      <numFmt numFmtId="168" formatCode="0.0"/>
    </dxf>
    <dxf>
      <numFmt numFmtId="168" formatCode="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167" formatCode="&quot;$&quot;#,##0.00"/>
    </dxf>
    <dxf>
      <numFmt numFmtId="167" formatCode="&quot;$&quot;#,##0.00"/>
    </dxf>
    <dxf>
      <numFmt numFmtId="0" formatCode="General"/>
    </dxf>
    <dxf>
      <numFmt numFmtId="0" formatCode="General"/>
    </dxf>
    <dxf>
      <numFmt numFmtId="169" formatCode="&quot;$&quot;#,##0"/>
    </dxf>
    <dxf>
      <numFmt numFmtId="167" formatCode="&quot;$&quot;#,##0.00"/>
    </dxf>
    <dxf>
      <numFmt numFmtId="0" formatCode="General"/>
    </dxf>
    <dxf>
      <numFmt numFmtId="0" formatCode="General"/>
    </dxf>
    <dxf>
      <numFmt numFmtId="167" formatCode="&quot;$&quot;#,##0.00"/>
    </dxf>
    <dxf>
      <numFmt numFmtId="168" formatCode="0.0"/>
    </dxf>
    <dxf>
      <numFmt numFmtId="168" formatCode="0.0"/>
    </dxf>
    <dxf>
      <numFmt numFmtId="14" formatCode="0.00%"/>
    </dxf>
    <dxf>
      <numFmt numFmtId="1" formatCode="0"/>
    </dxf>
    <dxf>
      <numFmt numFmtId="167" formatCode="&quot;$&quot;#,##0.00"/>
    </dxf>
    <dxf>
      <numFmt numFmtId="0" formatCode="General"/>
    </dxf>
    <dxf>
      <numFmt numFmtId="0" formatCode="General"/>
    </dxf>
    <dxf>
      <numFmt numFmtId="169" formatCode="&quot;$&quot;#,##0"/>
    </dxf>
    <dxf>
      <numFmt numFmtId="14" formatCode="0.00%"/>
    </dxf>
    <dxf>
      <numFmt numFmtId="0" formatCode="General"/>
    </dxf>
    <dxf>
      <numFmt numFmtId="0" formatCode="General"/>
    </dxf>
    <dxf>
      <numFmt numFmtId="0" formatCode="General"/>
    </dxf>
    <dxf>
      <numFmt numFmtId="167" formatCode="&quot;$&quot;#,##0.00"/>
    </dxf>
    <dxf>
      <numFmt numFmtId="0" formatCode="General"/>
    </dxf>
    <dxf>
      <numFmt numFmtId="0" formatCode="General"/>
    </dxf>
    <dxf>
      <numFmt numFmtId="167" formatCode="&quot;$&quot;#,##0.00"/>
    </dxf>
    <dxf>
      <numFmt numFmtId="168" formatCode="0.0"/>
    </dxf>
    <dxf>
      <numFmt numFmtId="167" formatCode="&quot;$&quot;#,##0.00"/>
    </dxf>
    <dxf>
      <numFmt numFmtId="168" formatCode="0.0"/>
    </dxf>
    <dxf>
      <numFmt numFmtId="0" formatCode="General"/>
    </dxf>
    <dxf>
      <numFmt numFmtId="0" formatCode="General"/>
    </dxf>
    <dxf>
      <numFmt numFmtId="168" formatCode="0.0"/>
    </dxf>
    <dxf>
      <numFmt numFmtId="168" formatCode="0.0"/>
    </dxf>
    <dxf>
      <numFmt numFmtId="167" formatCode="&quot;$&quot;#,##0.00"/>
    </dxf>
    <dxf>
      <numFmt numFmtId="0" formatCode="General"/>
    </dxf>
    <dxf>
      <numFmt numFmtId="30" formatCode="@"/>
    </dxf>
    <dxf>
      <font>
        <b val="0"/>
        <i val="0"/>
        <strike val="0"/>
        <condense val="0"/>
        <extend val="0"/>
        <outline val="0"/>
        <shadow val="0"/>
        <u val="none"/>
        <vertAlign val="baseline"/>
        <sz val="11"/>
        <color theme="1"/>
        <name val="Calibri"/>
        <family val="2"/>
        <scheme val="minor"/>
      </font>
      <numFmt numFmtId="167" formatCode="&quot;$&quot;#,##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numFmt numFmtId="1" formatCode="0"/>
    </dxf>
    <dxf>
      <numFmt numFmtId="165" formatCode="&quot;$&quot;#,##0;[Red]&quot;$&quot;#,##0"/>
      <fill>
        <patternFill patternType="none">
          <fgColor indexed="64"/>
          <bgColor indexed="65"/>
        </patternFill>
      </fill>
      <alignment horizontal="right" vertical="bottom" textRotation="0" wrapText="0" indent="0" justifyLastLine="0" shrinkToFit="0" readingOrder="0"/>
    </dxf>
    <dxf>
      <numFmt numFmtId="164" formatCode="mm/dd/yy;@"/>
      <alignment horizontal="right" vertical="bottom" textRotation="0" wrapText="0" indent="0" justifyLastLine="0" shrinkToFit="0" readingOrder="0"/>
    </dxf>
    <dxf>
      <numFmt numFmtId="170" formatCode="dd/mm/yyyy;@"/>
      <alignment horizontal="right" vertical="bottom" textRotation="0" wrapText="0" indent="0" justifyLastLine="0" shrinkToFit="0" readingOrder="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color theme="1"/>
      </font>
      <fill>
        <patternFill>
          <bgColor theme="3" tint="0.89996032593768116"/>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1"/>
        <color theme="3" tint="0.89996032593768116"/>
      </font>
      <border>
        <left style="thin">
          <color theme="4"/>
        </left>
        <right style="thin">
          <color theme="4"/>
        </right>
        <top style="thin">
          <color theme="4"/>
        </top>
        <bottom style="thin">
          <color theme="4"/>
        </bottom>
        <vertical/>
        <horizontal/>
      </border>
    </dxf>
    <dxf>
      <font>
        <sz val="11"/>
      </font>
      <fill>
        <patternFill>
          <bgColor theme="4"/>
        </patternFill>
      </fill>
    </dxf>
  </dxfs>
  <tableStyles count="4" defaultTableStyle="TableStyleMedium9" defaultPivotStyle="PivotStyleLight16">
    <tableStyle name="Slicer Style 1" pivot="0" table="0" count="2" xr9:uid="{E05256CB-0AD2-4394-B12D-4B56E5807E27}">
      <tableStyleElement type="wholeTable" dxfId="365"/>
    </tableStyle>
    <tableStyle name="SlicerStyleDark1 2" pivot="0" table="0" count="10" xr9:uid="{A6A0A7AF-C656-47DF-92BC-0E237D32A37B}">
      <tableStyleElement type="wholeTable" dxfId="364"/>
      <tableStyleElement type="headerRow" dxfId="363"/>
    </tableStyle>
    <tableStyle name="SlicerStyleDark1 3" pivot="0" table="0" count="10" xr9:uid="{155A18A8-76B0-4693-8A01-10935CE9CCF1}">
      <tableStyleElement type="wholeTable" dxfId="362"/>
      <tableStyleElement type="headerRow" dxfId="361"/>
    </tableStyle>
    <tableStyle name="SlicerStyleDark1 4" pivot="0" table="0" count="10" xr9:uid="{D967CF69-5BF1-41A5-8034-59376EB80915}">
      <tableStyleElement type="wholeTable" dxfId="360"/>
      <tableStyleElement type="headerRow" dxfId="359"/>
    </tableStyle>
  </tableStyles>
  <colors>
    <mruColors>
      <color rgb="FFE9F5FB"/>
      <color rgb="FF254061"/>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8"/>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1"/>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E9F5FB"/>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4"/>
          </x14:slicerStyleElements>
        </x14:slicerStyle>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Dasolami.xlsx]Analysis!PivotTable14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b="1">
                <a:solidFill>
                  <a:schemeClr val="bg1"/>
                </a:solidFill>
              </a:rPr>
              <a:t>Employee</a:t>
            </a:r>
            <a:r>
              <a:rPr lang="en-US" sz="1000" b="1" baseline="0">
                <a:solidFill>
                  <a:schemeClr val="bg1"/>
                </a:solidFill>
              </a:rPr>
              <a:t> Count by Department</a:t>
            </a:r>
            <a:endParaRPr lang="en-US" sz="1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c:f>
              <c:strCache>
                <c:ptCount val="1"/>
                <c:pt idx="0">
                  <c:v>Total</c:v>
                </c:pt>
              </c:strCache>
            </c:strRef>
          </c:tx>
          <c:spPr>
            <a:solidFill>
              <a:schemeClr val="accent1">
                <a:lumMod val="50000"/>
              </a:schemeClr>
            </a:solidFill>
            <a:ln>
              <a:noFill/>
            </a:ln>
            <a:effectLst/>
          </c:spPr>
          <c:invertIfNegative val="0"/>
          <c:cat>
            <c:strRef>
              <c:f>Analysis!$B$9:$B$15</c:f>
              <c:strCache>
                <c:ptCount val="6"/>
                <c:pt idx="0">
                  <c:v>Finance</c:v>
                </c:pt>
                <c:pt idx="1">
                  <c:v>Human Resources</c:v>
                </c:pt>
                <c:pt idx="2">
                  <c:v>Information Technology</c:v>
                </c:pt>
                <c:pt idx="3">
                  <c:v>Marketing</c:v>
                </c:pt>
                <c:pt idx="4">
                  <c:v>Operations</c:v>
                </c:pt>
                <c:pt idx="5">
                  <c:v>Sales</c:v>
                </c:pt>
              </c:strCache>
            </c:strRef>
          </c:cat>
          <c:val>
            <c:numRef>
              <c:f>Analysis!$C$9:$C$15</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804C-4E97-A8F2-16C53608E402}"/>
            </c:ext>
          </c:extLst>
        </c:ser>
        <c:dLbls>
          <c:showLegendKey val="0"/>
          <c:showVal val="0"/>
          <c:showCatName val="0"/>
          <c:showSerName val="0"/>
          <c:showPercent val="0"/>
          <c:showBubbleSize val="0"/>
        </c:dLbls>
        <c:gapWidth val="219"/>
        <c:overlap val="-27"/>
        <c:axId val="1098025168"/>
        <c:axId val="1098019408"/>
      </c:barChart>
      <c:catAx>
        <c:axId val="10980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320000" spcFirstLastPara="1" vertOverflow="ellipsis" wrap="square" anchor="ctr" anchorCtr="1"/>
          <a:lstStyle/>
          <a:p>
            <a:pPr>
              <a:defRPr sz="700" b="0" i="0" u="none" strike="noStrike" kern="1200" baseline="0">
                <a:solidFill>
                  <a:schemeClr val="bg1"/>
                </a:solidFill>
                <a:latin typeface="+mn-lt"/>
                <a:ea typeface="+mn-ea"/>
                <a:cs typeface="+mn-cs"/>
              </a:defRPr>
            </a:pPr>
            <a:endParaRPr lang="en-US"/>
          </a:p>
        </c:txPr>
        <c:crossAx val="1098019408"/>
        <c:crosses val="autoZero"/>
        <c:auto val="1"/>
        <c:lblAlgn val="ctr"/>
        <c:lblOffset val="100"/>
        <c:noMultiLvlLbl val="0"/>
      </c:catAx>
      <c:valAx>
        <c:axId val="109801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9802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Dasolami.xlsx]Analysis!PivotTable10</c:name>
    <c:fmtId val="5"/>
  </c:pivotSource>
  <c:chart>
    <c:title>
      <c:tx>
        <c:rich>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r>
              <a:rPr lang="en-US" sz="1050" b="1">
                <a:solidFill>
                  <a:schemeClr val="bg1"/>
                </a:solidFill>
              </a:rPr>
              <a:t>Average Salary by department</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Analysis!$F$8</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Analysis!$E$9:$E$15</c:f>
              <c:strCache>
                <c:ptCount val="6"/>
                <c:pt idx="0">
                  <c:v>Finance</c:v>
                </c:pt>
                <c:pt idx="1">
                  <c:v>Human Resources</c:v>
                </c:pt>
                <c:pt idx="2">
                  <c:v>Information Technology</c:v>
                </c:pt>
                <c:pt idx="3">
                  <c:v>Marketing</c:v>
                </c:pt>
                <c:pt idx="4">
                  <c:v>Operations</c:v>
                </c:pt>
                <c:pt idx="5">
                  <c:v>Sales</c:v>
                </c:pt>
              </c:strCache>
            </c:strRef>
          </c:cat>
          <c:val>
            <c:numRef>
              <c:f>Analysis!$F$9:$F$15</c:f>
              <c:numCache>
                <c:formatCode>"$"#,##0.00</c:formatCode>
                <c:ptCount val="6"/>
                <c:pt idx="0">
                  <c:v>89240.23529411765</c:v>
                </c:pt>
                <c:pt idx="1">
                  <c:v>85688.777777777781</c:v>
                </c:pt>
                <c:pt idx="2">
                  <c:v>79256.722222222219</c:v>
                </c:pt>
                <c:pt idx="3">
                  <c:v>85675.578947368427</c:v>
                </c:pt>
                <c:pt idx="4">
                  <c:v>79512.275862068971</c:v>
                </c:pt>
                <c:pt idx="5">
                  <c:v>85637.096774193546</c:v>
                </c:pt>
              </c:numCache>
            </c:numRef>
          </c:val>
          <c:extLst>
            <c:ext xmlns:c16="http://schemas.microsoft.com/office/drawing/2014/chart" uri="{C3380CC4-5D6E-409C-BE32-E72D297353CC}">
              <c16:uniqueId val="{00000000-A589-456B-97CF-47D6C07CA2DD}"/>
            </c:ext>
          </c:extLst>
        </c:ser>
        <c:dLbls>
          <c:dLblPos val="outEnd"/>
          <c:showLegendKey val="0"/>
          <c:showVal val="1"/>
          <c:showCatName val="0"/>
          <c:showSerName val="0"/>
          <c:showPercent val="0"/>
          <c:showBubbleSize val="0"/>
        </c:dLbls>
        <c:gapWidth val="54"/>
        <c:overlap val="1"/>
        <c:axId val="1191749360"/>
        <c:axId val="1191753680"/>
      </c:barChart>
      <c:catAx>
        <c:axId val="1191749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360000" spcFirstLastPara="1" vertOverflow="ellipsis" wrap="square" anchor="ctr" anchorCtr="1"/>
          <a:lstStyle/>
          <a:p>
            <a:pPr>
              <a:defRPr sz="700" b="0" i="0" u="none" strike="noStrike" kern="1200" baseline="0">
                <a:solidFill>
                  <a:schemeClr val="bg1"/>
                </a:solidFill>
                <a:latin typeface="+mn-lt"/>
                <a:ea typeface="+mn-ea"/>
                <a:cs typeface="+mn-cs"/>
              </a:defRPr>
            </a:pPr>
            <a:endParaRPr lang="en-US"/>
          </a:p>
        </c:txPr>
        <c:crossAx val="1191753680"/>
        <c:crosses val="autoZero"/>
        <c:auto val="1"/>
        <c:lblAlgn val="ctr"/>
        <c:lblOffset val="100"/>
        <c:noMultiLvlLbl val="0"/>
      </c:catAx>
      <c:valAx>
        <c:axId val="1191753680"/>
        <c:scaling>
          <c:orientation val="minMax"/>
        </c:scaling>
        <c:delete val="1"/>
        <c:axPos val="b"/>
        <c:numFmt formatCode="&quot;$&quot;#,##0.00" sourceLinked="1"/>
        <c:majorTickMark val="out"/>
        <c:minorTickMark val="none"/>
        <c:tickLblPos val="nextTo"/>
        <c:crossAx val="11917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6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50" b="1">
                <a:solidFill>
                  <a:schemeClr val="bg1"/>
                </a:solidFill>
              </a:rPr>
              <a:t>Employee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a:softEdge rad="12700"/>
          </a:effectLst>
        </c:spPr>
      </c:pivotFmt>
      <c:pivotFmt>
        <c:idx val="7"/>
        <c:spPr>
          <a:solidFill>
            <a:schemeClr val="accent4">
              <a:lumMod val="75000"/>
            </a:schemeClr>
          </a:solidFill>
          <a:ln w="19050">
            <a:solidFill>
              <a:schemeClr val="lt1"/>
            </a:solidFill>
          </a:ln>
          <a:effectLst>
            <a:softEdge rad="12700"/>
          </a:effectLst>
        </c:spPr>
      </c:pivotFmt>
      <c:pivotFmt>
        <c:idx val="8"/>
        <c:spPr>
          <a:solidFill>
            <a:schemeClr val="accent2">
              <a:lumMod val="75000"/>
            </a:schemeClr>
          </a:solidFill>
          <a:ln w="19050">
            <a:solidFill>
              <a:schemeClr val="lt1"/>
            </a:solidFill>
          </a:ln>
          <a:effectLst>
            <a:softEdge rad="12700"/>
          </a:effectLst>
        </c:spPr>
      </c:pivotFmt>
    </c:pivotFmts>
    <c:plotArea>
      <c:layout/>
      <c:pieChart>
        <c:varyColors val="1"/>
        <c:ser>
          <c:idx val="0"/>
          <c:order val="0"/>
          <c:tx>
            <c:v>Total</c:v>
          </c:tx>
          <c:spPr>
            <a:effectLst>
              <a:softEdge rad="12700"/>
            </a:effectLst>
          </c:spPr>
          <c:dPt>
            <c:idx val="0"/>
            <c:bubble3D val="0"/>
            <c:spPr>
              <a:solidFill>
                <a:schemeClr val="accent1">
                  <a:lumMod val="50000"/>
                </a:schemeClr>
              </a:solidFill>
              <a:ln w="19050">
                <a:solidFill>
                  <a:schemeClr val="lt1"/>
                </a:solidFill>
              </a:ln>
              <a:effectLst>
                <a:softEdge rad="12700"/>
              </a:effectLst>
            </c:spPr>
            <c:extLst>
              <c:ext xmlns:c16="http://schemas.microsoft.com/office/drawing/2014/chart" uri="{C3380CC4-5D6E-409C-BE32-E72D297353CC}">
                <c16:uniqueId val="{00000001-2191-4E94-9B8E-2E7901F93857}"/>
              </c:ext>
            </c:extLst>
          </c:dPt>
          <c:dPt>
            <c:idx val="1"/>
            <c:bubble3D val="0"/>
            <c:spPr>
              <a:solidFill>
                <a:schemeClr val="accent4">
                  <a:lumMod val="75000"/>
                </a:schemeClr>
              </a:solidFill>
              <a:ln w="19050">
                <a:solidFill>
                  <a:schemeClr val="lt1"/>
                </a:solidFill>
              </a:ln>
              <a:effectLst>
                <a:softEdge rad="12700"/>
              </a:effectLst>
            </c:spPr>
            <c:extLst>
              <c:ext xmlns:c16="http://schemas.microsoft.com/office/drawing/2014/chart" uri="{C3380CC4-5D6E-409C-BE32-E72D297353CC}">
                <c16:uniqueId val="{00000003-2191-4E94-9B8E-2E7901F93857}"/>
              </c:ext>
            </c:extLst>
          </c:dPt>
          <c:dPt>
            <c:idx val="2"/>
            <c:bubble3D val="0"/>
            <c:spPr>
              <a:solidFill>
                <a:schemeClr val="accent2">
                  <a:lumMod val="75000"/>
                </a:schemeClr>
              </a:solidFill>
              <a:ln w="19050">
                <a:solidFill>
                  <a:schemeClr val="lt1"/>
                </a:solidFill>
              </a:ln>
              <a:effectLst>
                <a:softEdge rad="12700"/>
              </a:effectLst>
            </c:spPr>
            <c:extLst>
              <c:ext xmlns:c16="http://schemas.microsoft.com/office/drawing/2014/chart" uri="{C3380CC4-5D6E-409C-BE32-E72D297353CC}">
                <c16:uniqueId val="{00000005-2191-4E94-9B8E-2E7901F93857}"/>
              </c:ext>
            </c:extLst>
          </c:dPt>
          <c:cat>
            <c:strLit>
              <c:ptCount val="3"/>
              <c:pt idx="0">
                <c:v>Active</c:v>
              </c:pt>
              <c:pt idx="1">
                <c:v>Left</c:v>
              </c:pt>
              <c:pt idx="2">
                <c:v>Resigned</c:v>
              </c:pt>
            </c:strLit>
          </c:cat>
          <c:val>
            <c:numLit>
              <c:formatCode>General</c:formatCode>
              <c:ptCount val="3"/>
              <c:pt idx="0">
                <c:v>116</c:v>
              </c:pt>
              <c:pt idx="1">
                <c:v>24</c:v>
              </c:pt>
              <c:pt idx="2">
                <c:v>10</c:v>
              </c:pt>
            </c:numLit>
          </c:val>
          <c:extLst>
            <c:ext xmlns:c16="http://schemas.microsoft.com/office/drawing/2014/chart" uri="{C3380CC4-5D6E-409C-BE32-E72D297353CC}">
              <c16:uniqueId val="{00000006-2191-4E94-9B8E-2E7901F93857}"/>
            </c:ext>
          </c:extLst>
        </c:ser>
        <c:dLbls>
          <c:showLegendKey val="0"/>
          <c:showVal val="0"/>
          <c:showCatName val="0"/>
          <c:showSerName val="0"/>
          <c:showPercent val="0"/>
          <c:showBubbleSize val="0"/>
          <c:showLeaderLines val="1"/>
        </c:dLbls>
        <c:firstSliceAng val="6"/>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softEdge rad="635000"/>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Dasolami.xlsx]Analysis!PivotTable8</c:name>
    <c:fmtId val="7"/>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b="1">
                <a:solidFill>
                  <a:schemeClr val="bg1"/>
                </a:solidFill>
              </a:rPr>
              <a:t>Employee Status</a:t>
            </a:r>
            <a:r>
              <a:rPr lang="en-US" sz="1000" b="1" baseline="0">
                <a:solidFill>
                  <a:schemeClr val="bg1"/>
                </a:solidFill>
              </a:rPr>
              <a:t> by Department</a:t>
            </a:r>
            <a:endParaRPr lang="en-US" sz="1000"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6338582677164"/>
          <c:y val="0.27576719576719577"/>
          <c:w val="0.64744192913385823"/>
          <c:h val="0.42494688163979505"/>
        </c:manualLayout>
      </c:layout>
      <c:barChart>
        <c:barDir val="col"/>
        <c:grouping val="clustered"/>
        <c:varyColors val="0"/>
        <c:ser>
          <c:idx val="0"/>
          <c:order val="0"/>
          <c:tx>
            <c:strRef>
              <c:f>Analysis!$H$28:$H$29</c:f>
              <c:strCache>
                <c:ptCount val="1"/>
                <c:pt idx="0">
                  <c:v>Active</c:v>
                </c:pt>
              </c:strCache>
            </c:strRef>
          </c:tx>
          <c:spPr>
            <a:solidFill>
              <a:schemeClr val="accent1">
                <a:lumMod val="50000"/>
              </a:schemeClr>
            </a:solidFill>
            <a:ln>
              <a:noFill/>
            </a:ln>
            <a:effectLst/>
          </c:spPr>
          <c:invertIfNegative val="0"/>
          <c:cat>
            <c:strRef>
              <c:f>Analysis!$G$30:$G$36</c:f>
              <c:strCache>
                <c:ptCount val="6"/>
                <c:pt idx="0">
                  <c:v>Finance</c:v>
                </c:pt>
                <c:pt idx="1">
                  <c:v>Human Resources</c:v>
                </c:pt>
                <c:pt idx="2">
                  <c:v>Information Technology</c:v>
                </c:pt>
                <c:pt idx="3">
                  <c:v>Marketing</c:v>
                </c:pt>
                <c:pt idx="4">
                  <c:v>Operations</c:v>
                </c:pt>
                <c:pt idx="5">
                  <c:v>Sales</c:v>
                </c:pt>
              </c:strCache>
            </c:strRef>
          </c:cat>
          <c:val>
            <c:numRef>
              <c:f>Analysis!$H$30:$H$36</c:f>
              <c:numCache>
                <c:formatCode>0.00%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99B3-4D3F-A35F-68CCF87FF8EE}"/>
            </c:ext>
          </c:extLst>
        </c:ser>
        <c:ser>
          <c:idx val="1"/>
          <c:order val="1"/>
          <c:tx>
            <c:strRef>
              <c:f>Analysis!$I$28:$I$29</c:f>
              <c:strCache>
                <c:ptCount val="1"/>
                <c:pt idx="0">
                  <c:v>Left</c:v>
                </c:pt>
              </c:strCache>
            </c:strRef>
          </c:tx>
          <c:spPr>
            <a:solidFill>
              <a:schemeClr val="accent2"/>
            </a:solidFill>
            <a:ln>
              <a:noFill/>
            </a:ln>
            <a:effectLst/>
          </c:spPr>
          <c:invertIfNegative val="0"/>
          <c:cat>
            <c:strRef>
              <c:f>Analysis!$G$30:$G$36</c:f>
              <c:strCache>
                <c:ptCount val="6"/>
                <c:pt idx="0">
                  <c:v>Finance</c:v>
                </c:pt>
                <c:pt idx="1">
                  <c:v>Human Resources</c:v>
                </c:pt>
                <c:pt idx="2">
                  <c:v>Information Technology</c:v>
                </c:pt>
                <c:pt idx="3">
                  <c:v>Marketing</c:v>
                </c:pt>
                <c:pt idx="4">
                  <c:v>Operations</c:v>
                </c:pt>
                <c:pt idx="5">
                  <c:v>Sales</c:v>
                </c:pt>
              </c:strCache>
            </c:strRef>
          </c:cat>
          <c:val>
            <c:numRef>
              <c:f>Analysis!$I$30:$I$36</c:f>
              <c:numCache>
                <c:formatCode>0.00%</c:formatCode>
                <c:ptCount val="6"/>
                <c:pt idx="0">
                  <c:v>0.17647058823529413</c:v>
                </c:pt>
                <c:pt idx="1">
                  <c:v>0.1111111111111111</c:v>
                </c:pt>
                <c:pt idx="2">
                  <c:v>0.16666666666666666</c:v>
                </c:pt>
                <c:pt idx="3">
                  <c:v>0.15789473684210525</c:v>
                </c:pt>
                <c:pt idx="4">
                  <c:v>0.20689655172413793</c:v>
                </c:pt>
                <c:pt idx="5">
                  <c:v>0.12903225806451613</c:v>
                </c:pt>
              </c:numCache>
            </c:numRef>
          </c:val>
          <c:extLst>
            <c:ext xmlns:c16="http://schemas.microsoft.com/office/drawing/2014/chart" uri="{C3380CC4-5D6E-409C-BE32-E72D297353CC}">
              <c16:uniqueId val="{00000003-DE31-448E-BD63-C52177084090}"/>
            </c:ext>
          </c:extLst>
        </c:ser>
        <c:ser>
          <c:idx val="2"/>
          <c:order val="2"/>
          <c:tx>
            <c:strRef>
              <c:f>Analysis!$J$28:$J$29</c:f>
              <c:strCache>
                <c:ptCount val="1"/>
                <c:pt idx="0">
                  <c:v>Resigned</c:v>
                </c:pt>
              </c:strCache>
            </c:strRef>
          </c:tx>
          <c:spPr>
            <a:solidFill>
              <a:schemeClr val="accent1">
                <a:lumMod val="20000"/>
                <a:lumOff val="80000"/>
              </a:schemeClr>
            </a:solidFill>
            <a:ln>
              <a:noFill/>
            </a:ln>
            <a:effectLst/>
          </c:spPr>
          <c:invertIfNegative val="0"/>
          <c:cat>
            <c:strRef>
              <c:f>Analysis!$G$30:$G$36</c:f>
              <c:strCache>
                <c:ptCount val="6"/>
                <c:pt idx="0">
                  <c:v>Finance</c:v>
                </c:pt>
                <c:pt idx="1">
                  <c:v>Human Resources</c:v>
                </c:pt>
                <c:pt idx="2">
                  <c:v>Information Technology</c:v>
                </c:pt>
                <c:pt idx="3">
                  <c:v>Marketing</c:v>
                </c:pt>
                <c:pt idx="4">
                  <c:v>Operations</c:v>
                </c:pt>
                <c:pt idx="5">
                  <c:v>Sales</c:v>
                </c:pt>
              </c:strCache>
            </c:strRef>
          </c:cat>
          <c:val>
            <c:numRef>
              <c:f>Analysis!$J$30:$J$36</c:f>
              <c:numCache>
                <c:formatCode>0.00%</c:formatCode>
                <c:ptCount val="6"/>
                <c:pt idx="0">
                  <c:v>0</c:v>
                </c:pt>
                <c:pt idx="1">
                  <c:v>5.5555555555555552E-2</c:v>
                </c:pt>
                <c:pt idx="2">
                  <c:v>5.5555555555555552E-2</c:v>
                </c:pt>
                <c:pt idx="3">
                  <c:v>0</c:v>
                </c:pt>
                <c:pt idx="4">
                  <c:v>0.17241379310344829</c:v>
                </c:pt>
                <c:pt idx="5">
                  <c:v>6.4516129032258063E-2</c:v>
                </c:pt>
              </c:numCache>
            </c:numRef>
          </c:val>
          <c:extLst>
            <c:ext xmlns:c16="http://schemas.microsoft.com/office/drawing/2014/chart" uri="{C3380CC4-5D6E-409C-BE32-E72D297353CC}">
              <c16:uniqueId val="{00000004-DE31-448E-BD63-C52177084090}"/>
            </c:ext>
          </c:extLst>
        </c:ser>
        <c:dLbls>
          <c:showLegendKey val="0"/>
          <c:showVal val="0"/>
          <c:showCatName val="0"/>
          <c:showSerName val="0"/>
          <c:showPercent val="0"/>
          <c:showBubbleSize val="0"/>
        </c:dLbls>
        <c:gapWidth val="52"/>
        <c:overlap val="-27"/>
        <c:axId val="1727153200"/>
        <c:axId val="1727169520"/>
      </c:barChart>
      <c:catAx>
        <c:axId val="172715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320000" spcFirstLastPara="1" vertOverflow="ellipsis" wrap="square" anchor="ctr" anchorCtr="1"/>
          <a:lstStyle/>
          <a:p>
            <a:pPr>
              <a:defRPr sz="700" b="0" i="0" u="none" strike="noStrike" kern="1200" baseline="0">
                <a:solidFill>
                  <a:schemeClr val="bg1"/>
                </a:solidFill>
                <a:latin typeface="+mn-lt"/>
                <a:ea typeface="+mn-ea"/>
                <a:cs typeface="+mn-cs"/>
              </a:defRPr>
            </a:pPr>
            <a:endParaRPr lang="en-US"/>
          </a:p>
        </c:txPr>
        <c:crossAx val="1727169520"/>
        <c:crosses val="autoZero"/>
        <c:auto val="1"/>
        <c:lblAlgn val="ctr"/>
        <c:lblOffset val="100"/>
        <c:noMultiLvlLbl val="0"/>
      </c:catAx>
      <c:valAx>
        <c:axId val="1727169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72715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50" b="1">
                <a:solidFill>
                  <a:schemeClr val="bg1"/>
                </a:solidFill>
              </a:rPr>
              <a:t>Employee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a:softEdge rad="12700"/>
          </a:effectLst>
        </c:spPr>
      </c:pivotFmt>
      <c:pivotFmt>
        <c:idx val="7"/>
        <c:spPr>
          <a:solidFill>
            <a:schemeClr val="accent4">
              <a:lumMod val="75000"/>
            </a:schemeClr>
          </a:solidFill>
          <a:ln w="19050">
            <a:solidFill>
              <a:schemeClr val="lt1"/>
            </a:solidFill>
          </a:ln>
          <a:effectLst>
            <a:softEdge rad="12700"/>
          </a:effectLst>
        </c:spPr>
      </c:pivotFmt>
      <c:pivotFmt>
        <c:idx val="8"/>
        <c:spPr>
          <a:solidFill>
            <a:schemeClr val="accent2">
              <a:lumMod val="50000"/>
            </a:schemeClr>
          </a:solidFill>
          <a:ln w="19050">
            <a:solidFill>
              <a:schemeClr val="lt1"/>
            </a:solidFill>
          </a:ln>
          <a:effectLst>
            <a:softEdge rad="12700"/>
          </a:effectLst>
        </c:spPr>
      </c:pivotFmt>
      <c:pivotFmt>
        <c:idx val="9"/>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a:softEdge rad="12700"/>
          </a:effectLst>
        </c:spPr>
      </c:pivotFmt>
      <c:pivotFmt>
        <c:idx val="11"/>
        <c:spPr>
          <a:solidFill>
            <a:schemeClr val="accent4">
              <a:lumMod val="75000"/>
            </a:schemeClr>
          </a:solidFill>
          <a:ln w="19050">
            <a:solidFill>
              <a:schemeClr val="lt1"/>
            </a:solidFill>
          </a:ln>
          <a:effectLst>
            <a:softEdge rad="12700"/>
          </a:effectLst>
        </c:spPr>
      </c:pivotFmt>
      <c:pivotFmt>
        <c:idx val="12"/>
        <c:spPr>
          <a:solidFill>
            <a:schemeClr val="accent2">
              <a:lumMod val="50000"/>
            </a:schemeClr>
          </a:solidFill>
          <a:ln w="19050">
            <a:solidFill>
              <a:schemeClr val="lt1"/>
            </a:solidFill>
          </a:ln>
          <a:effectLst>
            <a:softEdge rad="12700"/>
          </a:effectLst>
        </c:spPr>
      </c:pivotFmt>
      <c:pivotFmt>
        <c:idx val="13"/>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a:softEdge rad="12700"/>
          </a:effectLst>
        </c:spPr>
      </c:pivotFmt>
      <c:pivotFmt>
        <c:idx val="15"/>
        <c:spPr>
          <a:solidFill>
            <a:schemeClr val="accent4">
              <a:lumMod val="75000"/>
            </a:schemeClr>
          </a:solidFill>
          <a:ln w="19050">
            <a:solidFill>
              <a:schemeClr val="lt1"/>
            </a:solidFill>
          </a:ln>
          <a:effectLst>
            <a:softEdge rad="12700"/>
          </a:effectLst>
        </c:spPr>
      </c:pivotFmt>
      <c:pivotFmt>
        <c:idx val="16"/>
        <c:spPr>
          <a:solidFill>
            <a:schemeClr val="accent2">
              <a:lumMod val="50000"/>
            </a:schemeClr>
          </a:solidFill>
          <a:ln w="19050">
            <a:solidFill>
              <a:schemeClr val="lt1"/>
            </a:solidFill>
          </a:ln>
          <a:effectLst>
            <a:softEdge rad="12700"/>
          </a:effectLst>
        </c:spPr>
      </c:pivotFmt>
    </c:pivotFmts>
    <c:plotArea>
      <c:layout/>
      <c:pieChart>
        <c:varyColors val="1"/>
        <c:dLbls>
          <c:showLegendKey val="0"/>
          <c:showVal val="0"/>
          <c:showCatName val="0"/>
          <c:showSerName val="0"/>
          <c:showPercent val="0"/>
          <c:showBubbleSize val="0"/>
          <c:showLeaderLines val="0"/>
        </c:dLbls>
        <c:firstSliceAng val="6"/>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softEdge rad="635000"/>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Dasolami.xlsx]Analysis!PivotTable4</c:name>
    <c:fmtId val="5"/>
  </c:pivotSource>
  <c:chart>
    <c:title>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1550524991115"/>
          <c:y val="0.32872752140189276"/>
          <c:w val="0.66447580141598706"/>
          <c:h val="0.40868778868141092"/>
        </c:manualLayout>
      </c:layout>
      <c:barChart>
        <c:barDir val="col"/>
        <c:grouping val="clustered"/>
        <c:varyColors val="0"/>
        <c:ser>
          <c:idx val="0"/>
          <c:order val="0"/>
          <c:tx>
            <c:strRef>
              <c:f>Analysis!$I$62</c:f>
              <c:strCache>
                <c:ptCount val="1"/>
                <c:pt idx="0">
                  <c:v>Avg. Perf_Score</c:v>
                </c:pt>
              </c:strCache>
            </c:strRef>
          </c:tx>
          <c:spPr>
            <a:solidFill>
              <a:schemeClr val="accent1">
                <a:lumMod val="50000"/>
              </a:schemeClr>
            </a:solidFill>
            <a:ln>
              <a:noFill/>
            </a:ln>
            <a:effectLst/>
          </c:spPr>
          <c:invertIfNegative val="0"/>
          <c:cat>
            <c:strRef>
              <c:f>Analysis!$H$63:$H$68</c:f>
              <c:strCache>
                <c:ptCount val="5"/>
                <c:pt idx="0">
                  <c:v>Achieving</c:v>
                </c:pt>
                <c:pt idx="1">
                  <c:v>Developing</c:v>
                </c:pt>
                <c:pt idx="2">
                  <c:v>Exceeding</c:v>
                </c:pt>
                <c:pt idx="3">
                  <c:v>Needs Improvement</c:v>
                </c:pt>
                <c:pt idx="4">
                  <c:v>Outstanding</c:v>
                </c:pt>
              </c:strCache>
            </c:strRef>
          </c:cat>
          <c:val>
            <c:numRef>
              <c:f>Analysis!$I$63:$I$68</c:f>
              <c:numCache>
                <c:formatCode>0.0</c:formatCode>
                <c:ptCount val="5"/>
                <c:pt idx="0">
                  <c:v>77.048780487804876</c:v>
                </c:pt>
                <c:pt idx="1">
                  <c:v>61.224489795918366</c:v>
                </c:pt>
                <c:pt idx="2">
                  <c:v>90.63636363636364</c:v>
                </c:pt>
                <c:pt idx="3">
                  <c:v>38.857142857142854</c:v>
                </c:pt>
                <c:pt idx="4">
                  <c:v>97</c:v>
                </c:pt>
              </c:numCache>
            </c:numRef>
          </c:val>
          <c:extLst>
            <c:ext xmlns:c16="http://schemas.microsoft.com/office/drawing/2014/chart" uri="{C3380CC4-5D6E-409C-BE32-E72D297353CC}">
              <c16:uniqueId val="{00000000-2B24-4649-A08D-A43921D2402E}"/>
            </c:ext>
          </c:extLst>
        </c:ser>
        <c:dLbls>
          <c:showLegendKey val="0"/>
          <c:showVal val="0"/>
          <c:showCatName val="0"/>
          <c:showSerName val="0"/>
          <c:showPercent val="0"/>
          <c:showBubbleSize val="0"/>
        </c:dLbls>
        <c:gapWidth val="132"/>
        <c:overlap val="-27"/>
        <c:axId val="1191753680"/>
        <c:axId val="1191745520"/>
      </c:barChart>
      <c:lineChart>
        <c:grouping val="standard"/>
        <c:varyColors val="0"/>
        <c:ser>
          <c:idx val="1"/>
          <c:order val="1"/>
          <c:tx>
            <c:strRef>
              <c:f>Analysis!$J$62</c:f>
              <c:strCache>
                <c:ptCount val="1"/>
                <c:pt idx="0">
                  <c:v>Avg. Bonus Amount</c:v>
                </c:pt>
              </c:strCache>
            </c:strRef>
          </c:tx>
          <c:spPr>
            <a:ln w="28575" cap="rnd">
              <a:solidFill>
                <a:schemeClr val="accent2"/>
              </a:solidFill>
              <a:round/>
            </a:ln>
            <a:effectLst/>
          </c:spPr>
          <c:marker>
            <c:symbol val="none"/>
          </c:marker>
          <c:cat>
            <c:strRef>
              <c:f>Analysis!$H$63:$H$68</c:f>
              <c:strCache>
                <c:ptCount val="5"/>
                <c:pt idx="0">
                  <c:v>Achieving</c:v>
                </c:pt>
                <c:pt idx="1">
                  <c:v>Developing</c:v>
                </c:pt>
                <c:pt idx="2">
                  <c:v>Exceeding</c:v>
                </c:pt>
                <c:pt idx="3">
                  <c:v>Needs Improvement</c:v>
                </c:pt>
                <c:pt idx="4">
                  <c:v>Outstanding</c:v>
                </c:pt>
              </c:strCache>
            </c:strRef>
          </c:cat>
          <c:val>
            <c:numRef>
              <c:f>Analysis!$J$63:$J$68</c:f>
              <c:numCache>
                <c:formatCode>"$"#,##0.00</c:formatCode>
                <c:ptCount val="5"/>
                <c:pt idx="0">
                  <c:v>4016.8487804878059</c:v>
                </c:pt>
                <c:pt idx="1">
                  <c:v>1724.1673469387758</c:v>
                </c:pt>
                <c:pt idx="2">
                  <c:v>6585.4763636363641</c:v>
                </c:pt>
                <c:pt idx="3">
                  <c:v>0</c:v>
                </c:pt>
                <c:pt idx="4">
                  <c:v>9132.6239999999998</c:v>
                </c:pt>
              </c:numCache>
            </c:numRef>
          </c:val>
          <c:smooth val="0"/>
          <c:extLst>
            <c:ext xmlns:c16="http://schemas.microsoft.com/office/drawing/2014/chart" uri="{C3380CC4-5D6E-409C-BE32-E72D297353CC}">
              <c16:uniqueId val="{00000001-2B24-4649-A08D-A43921D2402E}"/>
            </c:ext>
          </c:extLst>
        </c:ser>
        <c:dLbls>
          <c:showLegendKey val="0"/>
          <c:showVal val="0"/>
          <c:showCatName val="0"/>
          <c:showSerName val="0"/>
          <c:showPercent val="0"/>
          <c:showBubbleSize val="0"/>
        </c:dLbls>
        <c:marker val="1"/>
        <c:smooth val="0"/>
        <c:axId val="1191753200"/>
        <c:axId val="1191756080"/>
      </c:lineChart>
      <c:catAx>
        <c:axId val="119175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80000" spcFirstLastPara="1" vertOverflow="ellipsis" wrap="square" anchor="ctr" anchorCtr="1"/>
          <a:lstStyle/>
          <a:p>
            <a:pPr>
              <a:defRPr sz="700" b="1" i="0" u="none" strike="noStrike" kern="1200" baseline="0">
                <a:solidFill>
                  <a:schemeClr val="bg1"/>
                </a:solidFill>
                <a:latin typeface="+mn-lt"/>
                <a:ea typeface="+mn-ea"/>
                <a:cs typeface="+mn-cs"/>
              </a:defRPr>
            </a:pPr>
            <a:endParaRPr lang="en-US"/>
          </a:p>
        </c:txPr>
        <c:crossAx val="1191745520"/>
        <c:crosses val="autoZero"/>
        <c:auto val="1"/>
        <c:lblAlgn val="ctr"/>
        <c:lblOffset val="100"/>
        <c:noMultiLvlLbl val="0"/>
      </c:catAx>
      <c:valAx>
        <c:axId val="1191745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191753680"/>
        <c:crosses val="autoZero"/>
        <c:crossBetween val="between"/>
      </c:valAx>
      <c:valAx>
        <c:axId val="119175608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753200"/>
        <c:crosses val="max"/>
        <c:crossBetween val="between"/>
      </c:valAx>
      <c:catAx>
        <c:axId val="1191753200"/>
        <c:scaling>
          <c:orientation val="minMax"/>
        </c:scaling>
        <c:delete val="1"/>
        <c:axPos val="b"/>
        <c:numFmt formatCode="General" sourceLinked="1"/>
        <c:majorTickMark val="out"/>
        <c:minorTickMark val="none"/>
        <c:tickLblPos val="nextTo"/>
        <c:crossAx val="1191756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Dasolami.xlsx]Analysis!PivotTable30</c:name>
    <c:fmtId val="7"/>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b="1"/>
              <a:t>Average</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Analysis!$C$49</c:f>
              <c:strCache>
                <c:ptCount val="1"/>
                <c:pt idx="0">
                  <c:v>Total</c:v>
                </c:pt>
              </c:strCache>
            </c:strRef>
          </c:tx>
          <c:spPr>
            <a:solidFill>
              <a:schemeClr val="accent1">
                <a:lumMod val="50000"/>
              </a:schemeClr>
            </a:solidFill>
            <a:ln>
              <a:noFill/>
            </a:ln>
            <a:effectLst/>
          </c:spPr>
          <c:invertIfNegative val="0"/>
          <c:cat>
            <c:strRef>
              <c:f>Analysis!$B$50:$B$56</c:f>
              <c:strCache>
                <c:ptCount val="6"/>
                <c:pt idx="0">
                  <c:v>Finance</c:v>
                </c:pt>
                <c:pt idx="1">
                  <c:v>Human Resources</c:v>
                </c:pt>
                <c:pt idx="2">
                  <c:v>Information Technology</c:v>
                </c:pt>
                <c:pt idx="3">
                  <c:v>Marketing</c:v>
                </c:pt>
                <c:pt idx="4">
                  <c:v>Operations</c:v>
                </c:pt>
                <c:pt idx="5">
                  <c:v>Sales</c:v>
                </c:pt>
              </c:strCache>
            </c:strRef>
          </c:cat>
          <c:val>
            <c:numRef>
              <c:f>Analysis!$C$50:$C$56</c:f>
              <c:numCache>
                <c:formatCode>0.0</c:formatCode>
                <c:ptCount val="6"/>
                <c:pt idx="0">
                  <c:v>68.941176470588232</c:v>
                </c:pt>
                <c:pt idx="1">
                  <c:v>71</c:v>
                </c:pt>
                <c:pt idx="2">
                  <c:v>65.388888888888886</c:v>
                </c:pt>
                <c:pt idx="3">
                  <c:v>73.21052631578948</c:v>
                </c:pt>
                <c:pt idx="4">
                  <c:v>69.931034482758619</c:v>
                </c:pt>
                <c:pt idx="5">
                  <c:v>64.129032258064512</c:v>
                </c:pt>
              </c:numCache>
            </c:numRef>
          </c:val>
          <c:extLst>
            <c:ext xmlns:c16="http://schemas.microsoft.com/office/drawing/2014/chart" uri="{C3380CC4-5D6E-409C-BE32-E72D297353CC}">
              <c16:uniqueId val="{00000000-7074-45ED-ADD5-B5281EEE4F0F}"/>
            </c:ext>
          </c:extLst>
        </c:ser>
        <c:dLbls>
          <c:showLegendKey val="0"/>
          <c:showVal val="0"/>
          <c:showCatName val="0"/>
          <c:showSerName val="0"/>
          <c:showPercent val="0"/>
          <c:showBubbleSize val="0"/>
        </c:dLbls>
        <c:gapWidth val="140"/>
        <c:overlap val="-27"/>
        <c:axId val="1191763760"/>
        <c:axId val="1191766160"/>
      </c:barChart>
      <c:catAx>
        <c:axId val="119176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191766160"/>
        <c:crosses val="autoZero"/>
        <c:auto val="1"/>
        <c:lblAlgn val="ctr"/>
        <c:lblOffset val="100"/>
        <c:noMultiLvlLbl val="0"/>
      </c:catAx>
      <c:valAx>
        <c:axId val="1191766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19176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nchor="ctr" anchorCtr="1"/>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Dasolami.xlsx]Analysis!PivotTable5</c:name>
    <c:fmtId val="7"/>
  </c:pivotSource>
  <c:chart>
    <c:title>
      <c:layout>
        <c:manualLayout>
          <c:xMode val="edge"/>
          <c:yMode val="edge"/>
          <c:x val="0.51110296626770979"/>
          <c:y val="5.403993618444753E-2"/>
        </c:manualLayout>
      </c:layout>
      <c:overlay val="0"/>
      <c:spPr>
        <a:noFill/>
        <a:ln>
          <a:noFill/>
        </a:ln>
        <a:effectLst/>
      </c:spPr>
      <c:txPr>
        <a:bodyPr rot="0" spcFirstLastPara="1" vertOverflow="ellipsis" vert="horz" wrap="square" anchor="ctr" anchorCtr="1"/>
        <a:lstStyle/>
        <a:p>
          <a:pPr>
            <a:defRPr sz="84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73593356000436"/>
          <c:y val="0.19774535535999177"/>
          <c:w val="0.65224177024394558"/>
          <c:h val="0.67487983119757089"/>
        </c:manualLayout>
      </c:layout>
      <c:barChart>
        <c:barDir val="bar"/>
        <c:grouping val="clustered"/>
        <c:varyColors val="0"/>
        <c:ser>
          <c:idx val="0"/>
          <c:order val="0"/>
          <c:tx>
            <c:strRef>
              <c:f>Analysis!$F$46</c:f>
              <c:strCache>
                <c:ptCount val="1"/>
                <c:pt idx="0">
                  <c:v>Total</c:v>
                </c:pt>
              </c:strCache>
            </c:strRef>
          </c:tx>
          <c:spPr>
            <a:solidFill>
              <a:schemeClr val="accent1">
                <a:lumMod val="50000"/>
              </a:schemeClr>
            </a:solidFill>
            <a:ln>
              <a:noFill/>
            </a:ln>
            <a:effectLst/>
          </c:spPr>
          <c:invertIfNegative val="0"/>
          <c:cat>
            <c:strRef>
              <c:f>Analysis!$E$47:$E$52</c:f>
              <c:strCache>
                <c:ptCount val="5"/>
                <c:pt idx="0">
                  <c:v>Needs Improvement</c:v>
                </c:pt>
                <c:pt idx="1">
                  <c:v>Developing</c:v>
                </c:pt>
                <c:pt idx="2">
                  <c:v>Outstanding</c:v>
                </c:pt>
                <c:pt idx="3">
                  <c:v>Exceeding</c:v>
                </c:pt>
                <c:pt idx="4">
                  <c:v>Achieving</c:v>
                </c:pt>
              </c:strCache>
            </c:strRef>
          </c:cat>
          <c:val>
            <c:numRef>
              <c:f>Analysis!$F$47:$F$52</c:f>
              <c:numCache>
                <c:formatCode>0.0</c:formatCode>
                <c:ptCount val="5"/>
                <c:pt idx="0">
                  <c:v>0</c:v>
                </c:pt>
                <c:pt idx="1">
                  <c:v>84484.200000000012</c:v>
                </c:pt>
                <c:pt idx="2">
                  <c:v>91326.24</c:v>
                </c:pt>
                <c:pt idx="3">
                  <c:v>144880.48000000001</c:v>
                </c:pt>
                <c:pt idx="4">
                  <c:v>164690.80000000005</c:v>
                </c:pt>
              </c:numCache>
            </c:numRef>
          </c:val>
          <c:extLst>
            <c:ext xmlns:c16="http://schemas.microsoft.com/office/drawing/2014/chart" uri="{C3380CC4-5D6E-409C-BE32-E72D297353CC}">
              <c16:uniqueId val="{00000000-2973-424B-8C37-093421E8C490}"/>
            </c:ext>
          </c:extLst>
        </c:ser>
        <c:dLbls>
          <c:showLegendKey val="0"/>
          <c:showVal val="0"/>
          <c:showCatName val="0"/>
          <c:showSerName val="0"/>
          <c:showPercent val="0"/>
          <c:showBubbleSize val="0"/>
        </c:dLbls>
        <c:gapWidth val="73"/>
        <c:axId val="1725981440"/>
        <c:axId val="1725976160"/>
      </c:barChart>
      <c:catAx>
        <c:axId val="172598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725976160"/>
        <c:crosses val="autoZero"/>
        <c:auto val="1"/>
        <c:lblAlgn val="ctr"/>
        <c:lblOffset val="100"/>
        <c:noMultiLvlLbl val="0"/>
      </c:catAx>
      <c:valAx>
        <c:axId val="1725976160"/>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598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[HR_Capstone_Completed_Adeniran Barakat Dasolami.xlsx]Analysis!PivotTable9</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900" b="1"/>
              <a:t>Employee Performance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0">
            <a:solidFill>
              <a:schemeClr val="lt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0">
            <a:solidFill>
              <a:schemeClr val="lt1">
                <a:alpha val="92000"/>
              </a:schemeClr>
            </a:solidFill>
          </a:ln>
          <a:effectLst/>
        </c:spPr>
      </c:pivotFmt>
      <c:pivotFmt>
        <c:idx val="33"/>
        <c:spPr>
          <a:solidFill>
            <a:schemeClr val="accent1">
              <a:lumMod val="50000"/>
            </a:schemeClr>
          </a:solidFill>
          <a:ln w="0">
            <a:solidFill>
              <a:schemeClr val="lt1">
                <a:alpha val="92000"/>
              </a:schemeClr>
            </a:solidFill>
          </a:ln>
          <a:effectLst/>
        </c:spPr>
      </c:pivotFmt>
      <c:pivotFmt>
        <c:idx val="34"/>
        <c:spPr>
          <a:solidFill>
            <a:schemeClr val="accent1"/>
          </a:solidFill>
          <a:ln w="0">
            <a:solidFill>
              <a:schemeClr val="lt1">
                <a:alpha val="92000"/>
              </a:schemeClr>
            </a:solidFill>
          </a:ln>
          <a:effectLst/>
        </c:spPr>
      </c:pivotFmt>
      <c:pivotFmt>
        <c:idx val="35"/>
        <c:spPr>
          <a:solidFill>
            <a:schemeClr val="accent1">
              <a:lumMod val="60000"/>
              <a:lumOff val="40000"/>
            </a:schemeClr>
          </a:solidFill>
          <a:ln w="0">
            <a:solidFill>
              <a:schemeClr val="lt1">
                <a:alpha val="92000"/>
              </a:schemeClr>
            </a:solidFill>
          </a:ln>
          <a:effectLst/>
        </c:spPr>
      </c:pivotFmt>
      <c:pivotFmt>
        <c:idx val="36"/>
        <c:spPr>
          <a:solidFill>
            <a:schemeClr val="accent2">
              <a:lumMod val="75000"/>
            </a:schemeClr>
          </a:solidFill>
          <a:ln w="0">
            <a:solidFill>
              <a:schemeClr val="lt1">
                <a:alpha val="92000"/>
              </a:schemeClr>
            </a:solidFill>
          </a:ln>
          <a:effectLst/>
        </c:spPr>
      </c:pivotFmt>
    </c:pivotFmts>
    <c:plotArea>
      <c:layout/>
      <c:pieChart>
        <c:varyColors val="1"/>
        <c:ser>
          <c:idx val="0"/>
          <c:order val="0"/>
          <c:tx>
            <c:strRef>
              <c:f>Analysis!$I$44</c:f>
              <c:strCache>
                <c:ptCount val="1"/>
                <c:pt idx="0">
                  <c:v>Total</c:v>
                </c:pt>
              </c:strCache>
            </c:strRef>
          </c:tx>
          <c:spPr>
            <a:ln w="0">
              <a:solidFill>
                <a:schemeClr val="lt1">
                  <a:alpha val="92000"/>
                </a:schemeClr>
              </a:solidFill>
            </a:ln>
          </c:spPr>
          <c:dPt>
            <c:idx val="0"/>
            <c:bubble3D val="0"/>
            <c:spPr>
              <a:solidFill>
                <a:schemeClr val="accent1"/>
              </a:solidFill>
              <a:ln w="0">
                <a:solidFill>
                  <a:schemeClr val="lt1">
                    <a:alpha val="92000"/>
                  </a:schemeClr>
                </a:solidFill>
              </a:ln>
              <a:effectLst/>
            </c:spPr>
            <c:extLst>
              <c:ext xmlns:c16="http://schemas.microsoft.com/office/drawing/2014/chart" uri="{C3380CC4-5D6E-409C-BE32-E72D297353CC}">
                <c16:uniqueId val="{00000001-8549-402E-AD20-A72DB89C2B6D}"/>
              </c:ext>
            </c:extLst>
          </c:dPt>
          <c:dPt>
            <c:idx val="1"/>
            <c:bubble3D val="0"/>
            <c:spPr>
              <a:solidFill>
                <a:schemeClr val="accent1">
                  <a:lumMod val="50000"/>
                </a:schemeClr>
              </a:solidFill>
              <a:ln w="0">
                <a:solidFill>
                  <a:schemeClr val="lt1">
                    <a:alpha val="92000"/>
                  </a:schemeClr>
                </a:solidFill>
              </a:ln>
              <a:effectLst/>
            </c:spPr>
            <c:extLst>
              <c:ext xmlns:c16="http://schemas.microsoft.com/office/drawing/2014/chart" uri="{C3380CC4-5D6E-409C-BE32-E72D297353CC}">
                <c16:uniqueId val="{00000003-8549-402E-AD20-A72DB89C2B6D}"/>
              </c:ext>
            </c:extLst>
          </c:dPt>
          <c:dPt>
            <c:idx val="2"/>
            <c:bubble3D val="0"/>
            <c:spPr>
              <a:solidFill>
                <a:schemeClr val="accent3"/>
              </a:solidFill>
              <a:ln w="0">
                <a:solidFill>
                  <a:schemeClr val="lt1">
                    <a:alpha val="92000"/>
                  </a:schemeClr>
                </a:solidFill>
              </a:ln>
              <a:effectLst/>
            </c:spPr>
            <c:extLst>
              <c:ext xmlns:c16="http://schemas.microsoft.com/office/drawing/2014/chart" uri="{C3380CC4-5D6E-409C-BE32-E72D297353CC}">
                <c16:uniqueId val="{00000005-8549-402E-AD20-A72DB89C2B6D}"/>
              </c:ext>
            </c:extLst>
          </c:dPt>
          <c:dPt>
            <c:idx val="3"/>
            <c:bubble3D val="0"/>
            <c:spPr>
              <a:solidFill>
                <a:schemeClr val="accent1">
                  <a:lumMod val="60000"/>
                  <a:lumOff val="40000"/>
                </a:schemeClr>
              </a:solidFill>
              <a:ln w="0">
                <a:solidFill>
                  <a:schemeClr val="lt1">
                    <a:alpha val="92000"/>
                  </a:schemeClr>
                </a:solidFill>
              </a:ln>
              <a:effectLst/>
            </c:spPr>
            <c:extLst>
              <c:ext xmlns:c16="http://schemas.microsoft.com/office/drawing/2014/chart" uri="{C3380CC4-5D6E-409C-BE32-E72D297353CC}">
                <c16:uniqueId val="{00000007-8549-402E-AD20-A72DB89C2B6D}"/>
              </c:ext>
            </c:extLst>
          </c:dPt>
          <c:dPt>
            <c:idx val="4"/>
            <c:bubble3D val="0"/>
            <c:spPr>
              <a:solidFill>
                <a:schemeClr val="accent2">
                  <a:lumMod val="75000"/>
                </a:schemeClr>
              </a:solidFill>
              <a:ln w="0">
                <a:solidFill>
                  <a:schemeClr val="lt1">
                    <a:alpha val="92000"/>
                  </a:schemeClr>
                </a:solidFill>
              </a:ln>
              <a:effectLst/>
            </c:spPr>
            <c:extLst>
              <c:ext xmlns:c16="http://schemas.microsoft.com/office/drawing/2014/chart" uri="{C3380CC4-5D6E-409C-BE32-E72D297353CC}">
                <c16:uniqueId val="{00000009-8549-402E-AD20-A72DB89C2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Analysis!$H$45:$H$50</c:f>
              <c:strCache>
                <c:ptCount val="5"/>
                <c:pt idx="0">
                  <c:v>Achieving</c:v>
                </c:pt>
                <c:pt idx="1">
                  <c:v>Developing</c:v>
                </c:pt>
                <c:pt idx="2">
                  <c:v>Exceeding</c:v>
                </c:pt>
                <c:pt idx="3">
                  <c:v>Needs Improvement</c:v>
                </c:pt>
                <c:pt idx="4">
                  <c:v>Outstanding</c:v>
                </c:pt>
              </c:strCache>
            </c:strRef>
          </c:cat>
          <c:val>
            <c:numRef>
              <c:f>Analysis!$I$45:$I$50</c:f>
              <c:numCache>
                <c:formatCode>0.00%</c:formatCode>
                <c:ptCount val="5"/>
                <c:pt idx="0">
                  <c:v>0.27333333333333332</c:v>
                </c:pt>
                <c:pt idx="1">
                  <c:v>0.32666666666666666</c:v>
                </c:pt>
                <c:pt idx="2">
                  <c:v>0.14666666666666667</c:v>
                </c:pt>
                <c:pt idx="3">
                  <c:v>0.18666666666666668</c:v>
                </c:pt>
                <c:pt idx="4">
                  <c:v>6.6666666666666666E-2</c:v>
                </c:pt>
              </c:numCache>
            </c:numRef>
          </c:val>
          <c:extLst>
            <c:ext xmlns:c16="http://schemas.microsoft.com/office/drawing/2014/chart" uri="{C3380CC4-5D6E-409C-BE32-E72D297353CC}">
              <c16:uniqueId val="{0000000A-8549-402E-AD20-A72DB89C2B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lt1"/>
          </a:solidFill>
        </a:ln>
        <a:effectLst>
          <a:softEdge rad="12700"/>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Sheet1!A1"/><Relationship Id="rId1" Type="http://schemas.openxmlformats.org/officeDocument/2006/relationships/hyperlink" Target="#Raw_Employee_Data!A1"/><Relationship Id="rId6" Type="http://schemas.openxmlformats.org/officeDocument/2006/relationships/image" Target="../media/image1.png"/><Relationship Id="rId5" Type="http://schemas.openxmlformats.org/officeDocument/2006/relationships/hyperlink" Target="#HR_Dashboard_Workforce!A1"/><Relationship Id="rId4" Type="http://schemas.openxmlformats.org/officeDocument/2006/relationships/hyperlink" Target="#HR_Dashboard_Performance!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5.png"/><Relationship Id="rId3" Type="http://schemas.openxmlformats.org/officeDocument/2006/relationships/hyperlink" Target="#HR_Dashboard_Workforce!A1"/><Relationship Id="rId7" Type="http://schemas.openxmlformats.org/officeDocument/2006/relationships/chart" Target="../charts/chart4.xml"/><Relationship Id="rId12" Type="http://schemas.openxmlformats.org/officeDocument/2006/relationships/image" Target="../media/image4.jpeg"/><Relationship Id="rId17" Type="http://schemas.openxmlformats.org/officeDocument/2006/relationships/image" Target="../media/image1.png"/><Relationship Id="rId2" Type="http://schemas.openxmlformats.org/officeDocument/2006/relationships/hyperlink" Target="#HR_Dashboard_Performance!A1"/><Relationship Id="rId16" Type="http://schemas.openxmlformats.org/officeDocument/2006/relationships/hyperlink" Target="https://www.linkedin.com/in/barakat-adeniran-0b7a05199/?skipRedirect=true" TargetMode="External"/><Relationship Id="rId1" Type="http://schemas.openxmlformats.org/officeDocument/2006/relationships/hyperlink" Target="#Raw_Employee_Data!A1"/><Relationship Id="rId6" Type="http://schemas.openxmlformats.org/officeDocument/2006/relationships/chart" Target="../charts/chart3.xml"/><Relationship Id="rId11" Type="http://schemas.microsoft.com/office/2007/relationships/hdphoto" Target="../media/hdphoto2.wdp"/><Relationship Id="rId5" Type="http://schemas.openxmlformats.org/officeDocument/2006/relationships/chart" Target="../charts/chart2.xml"/><Relationship Id="rId15" Type="http://schemas.openxmlformats.org/officeDocument/2006/relationships/image" Target="../media/image6.jpeg"/><Relationship Id="rId10" Type="http://schemas.openxmlformats.org/officeDocument/2006/relationships/image" Target="../media/image3.png"/><Relationship Id="rId4" Type="http://schemas.openxmlformats.org/officeDocument/2006/relationships/chart" Target="../charts/chart1.xml"/><Relationship Id="rId9" Type="http://schemas.microsoft.com/office/2007/relationships/hdphoto" Target="../media/hdphoto1.wdp"/><Relationship Id="rId14" Type="http://schemas.microsoft.com/office/2007/relationships/hdphoto" Target="../media/hdphoto3.wdp"/></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07/relationships/hdphoto" Target="../media/hdphoto5.wdp"/><Relationship Id="rId18" Type="http://schemas.openxmlformats.org/officeDocument/2006/relationships/image" Target="../media/image1.png"/><Relationship Id="rId3" Type="http://schemas.openxmlformats.org/officeDocument/2006/relationships/hyperlink" Target="#HR_Dashboard_Workforce!A1"/><Relationship Id="rId7" Type="http://schemas.openxmlformats.org/officeDocument/2006/relationships/chart" Target="../charts/chart8.xml"/><Relationship Id="rId12" Type="http://schemas.openxmlformats.org/officeDocument/2006/relationships/image" Target="../media/image8.png"/><Relationship Id="rId17" Type="http://schemas.openxmlformats.org/officeDocument/2006/relationships/hyperlink" Target="https://www.linkedin.com/in/barakat-adeniran-0b7a05199/?skipRedirect=true" TargetMode="External"/><Relationship Id="rId2" Type="http://schemas.openxmlformats.org/officeDocument/2006/relationships/hyperlink" Target="#HR_Dashboard_Performance!A1"/><Relationship Id="rId16" Type="http://schemas.microsoft.com/office/2007/relationships/hdphoto" Target="../media/hdphoto6.wdp"/><Relationship Id="rId1" Type="http://schemas.openxmlformats.org/officeDocument/2006/relationships/hyperlink" Target="#Raw_Employee_Data!A1"/><Relationship Id="rId6" Type="http://schemas.openxmlformats.org/officeDocument/2006/relationships/chart" Target="../charts/chart7.xml"/><Relationship Id="rId11" Type="http://schemas.openxmlformats.org/officeDocument/2006/relationships/image" Target="../media/image4.jpeg"/><Relationship Id="rId5" Type="http://schemas.openxmlformats.org/officeDocument/2006/relationships/chart" Target="../charts/chart6.xml"/><Relationship Id="rId15" Type="http://schemas.openxmlformats.org/officeDocument/2006/relationships/image" Target="../media/image10.png"/><Relationship Id="rId10" Type="http://schemas.microsoft.com/office/2007/relationships/hdphoto" Target="../media/hdphoto4.wdp"/><Relationship Id="rId4" Type="http://schemas.openxmlformats.org/officeDocument/2006/relationships/chart" Target="../charts/chart5.xml"/><Relationship Id="rId9" Type="http://schemas.openxmlformats.org/officeDocument/2006/relationships/image" Target="../media/image7.png"/><Relationship Id="rId1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0</xdr:col>
      <xdr:colOff>85727</xdr:colOff>
      <xdr:row>7</xdr:row>
      <xdr:rowOff>142874</xdr:rowOff>
    </xdr:from>
    <xdr:to>
      <xdr:col>0</xdr:col>
      <xdr:colOff>1317007</xdr:colOff>
      <xdr:row>11</xdr:row>
      <xdr:rowOff>102977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B81632D-3408-487A-A310-0BAD1D63C65F}"/>
            </a:ext>
          </a:extLst>
        </xdr:cNvPr>
        <xdr:cNvSpPr/>
      </xdr:nvSpPr>
      <xdr:spPr>
        <a:xfrm>
          <a:off x="85727" y="1476374"/>
          <a:ext cx="1231280" cy="7221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panose="020B0502040204020203" pitchFamily="34" charset="0"/>
              <a:cs typeface="Segoe UI" panose="020B0502040204020203" pitchFamily="34" charset="0"/>
            </a:rPr>
            <a:t>Dataset</a:t>
          </a:r>
        </a:p>
      </xdr:txBody>
    </xdr:sp>
    <xdr:clientData/>
  </xdr:twoCellAnchor>
  <xdr:twoCellAnchor>
    <xdr:from>
      <xdr:col>0</xdr:col>
      <xdr:colOff>66677</xdr:colOff>
      <xdr:row>4</xdr:row>
      <xdr:rowOff>104774</xdr:rowOff>
    </xdr:from>
    <xdr:to>
      <xdr:col>0</xdr:col>
      <xdr:colOff>1297957</xdr:colOff>
      <xdr:row>8</xdr:row>
      <xdr:rowOff>47625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6057593-4494-49D9-A849-C0C1C5D4A004}"/>
            </a:ext>
          </a:extLst>
        </xdr:cNvPr>
        <xdr:cNvSpPr/>
      </xdr:nvSpPr>
      <xdr:spPr>
        <a:xfrm>
          <a:off x="66677" y="866774"/>
          <a:ext cx="1231280" cy="7048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bg1"/>
              </a:solidFill>
              <a:latin typeface="Segoe UI" panose="020B0502040204020203" pitchFamily="34" charset="0"/>
              <a:cs typeface="Segoe UI" panose="020B0502040204020203" pitchFamily="34" charset="0"/>
            </a:rPr>
            <a:t>Performance &amp; Bonus </a:t>
          </a:r>
        </a:p>
      </xdr:txBody>
    </xdr:sp>
    <xdr:clientData/>
  </xdr:twoCellAnchor>
  <xdr:twoCellAnchor>
    <xdr:from>
      <xdr:col>0</xdr:col>
      <xdr:colOff>66677</xdr:colOff>
      <xdr:row>1</xdr:row>
      <xdr:rowOff>28575</xdr:rowOff>
    </xdr:from>
    <xdr:to>
      <xdr:col>0</xdr:col>
      <xdr:colOff>1297957</xdr:colOff>
      <xdr:row>5</xdr:row>
      <xdr:rowOff>47625</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0CC9557C-E78E-4FA5-ABFE-7653D3A6905E}"/>
            </a:ext>
          </a:extLst>
        </xdr:cNvPr>
        <xdr:cNvSpPr/>
      </xdr:nvSpPr>
      <xdr:spPr>
        <a:xfrm>
          <a:off x="66677" y="219075"/>
          <a:ext cx="123128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panose="020B0502040204020203" pitchFamily="34" charset="0"/>
              <a:cs typeface="Segoe UI" panose="020B0502040204020203" pitchFamily="34" charset="0"/>
            </a:rPr>
            <a:t>Salary</a:t>
          </a:r>
        </a:p>
      </xdr:txBody>
    </xdr:sp>
    <xdr:clientData/>
  </xdr:twoCellAnchor>
  <xdr:twoCellAnchor>
    <xdr:from>
      <xdr:col>0</xdr:col>
      <xdr:colOff>11906</xdr:colOff>
      <xdr:row>0</xdr:row>
      <xdr:rowOff>0</xdr:rowOff>
    </xdr:from>
    <xdr:to>
      <xdr:col>0</xdr:col>
      <xdr:colOff>1547812</xdr:colOff>
      <xdr:row>40</xdr:row>
      <xdr:rowOff>107156</xdr:rowOff>
    </xdr:to>
    <xdr:sp macro="" textlink="">
      <xdr:nvSpPr>
        <xdr:cNvPr id="6" name="Rectangle: Rounded Corners 5">
          <a:extLst>
            <a:ext uri="{FF2B5EF4-FFF2-40B4-BE49-F238E27FC236}">
              <a16:creationId xmlns:a16="http://schemas.microsoft.com/office/drawing/2014/main" id="{ACC057F5-C429-ED08-FCCD-47ADF1BA99C9}"/>
            </a:ext>
          </a:extLst>
        </xdr:cNvPr>
        <xdr:cNvSpPr/>
      </xdr:nvSpPr>
      <xdr:spPr>
        <a:xfrm>
          <a:off x="11906" y="0"/>
          <a:ext cx="1535906" cy="77271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97633</xdr:colOff>
      <xdr:row>7</xdr:row>
      <xdr:rowOff>142875</xdr:rowOff>
    </xdr:from>
    <xdr:to>
      <xdr:col>0</xdr:col>
      <xdr:colOff>1421259</xdr:colOff>
      <xdr:row>10</xdr:row>
      <xdr:rowOff>119063</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6D5DC36-3A3C-8EE8-948B-814FE7EF73FA}"/>
            </a:ext>
          </a:extLst>
        </xdr:cNvPr>
        <xdr:cNvSpPr/>
      </xdr:nvSpPr>
      <xdr:spPr>
        <a:xfrm>
          <a:off x="97633" y="1476375"/>
          <a:ext cx="1323626" cy="547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panose="020B0502040204020203" pitchFamily="34" charset="0"/>
              <a:cs typeface="Segoe UI" panose="020B0502040204020203" pitchFamily="34" charset="0"/>
            </a:rPr>
            <a:t>Dataset</a:t>
          </a:r>
        </a:p>
      </xdr:txBody>
    </xdr:sp>
    <xdr:clientData/>
  </xdr:twoCellAnchor>
  <xdr:twoCellAnchor>
    <xdr:from>
      <xdr:col>0</xdr:col>
      <xdr:colOff>83344</xdr:colOff>
      <xdr:row>4</xdr:row>
      <xdr:rowOff>57150</xdr:rowOff>
    </xdr:from>
    <xdr:to>
      <xdr:col>0</xdr:col>
      <xdr:colOff>1440250</xdr:colOff>
      <xdr:row>7</xdr:row>
      <xdr:rowOff>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63979FAF-4FDF-F407-071D-3CA88ECDD772}"/>
            </a:ext>
          </a:extLst>
        </xdr:cNvPr>
        <xdr:cNvSpPr/>
      </xdr:nvSpPr>
      <xdr:spPr>
        <a:xfrm>
          <a:off x="83344" y="819150"/>
          <a:ext cx="1356906"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panose="020B0502040204020203" pitchFamily="34" charset="0"/>
              <a:cs typeface="Segoe UI" panose="020B0502040204020203" pitchFamily="34" charset="0"/>
            </a:rPr>
            <a:t>Performance</a:t>
          </a:r>
        </a:p>
      </xdr:txBody>
    </xdr:sp>
    <xdr:clientData/>
  </xdr:twoCellAnchor>
  <xdr:twoCellAnchor>
    <xdr:from>
      <xdr:col>0</xdr:col>
      <xdr:colOff>78583</xdr:colOff>
      <xdr:row>1</xdr:row>
      <xdr:rowOff>28575</xdr:rowOff>
    </xdr:from>
    <xdr:to>
      <xdr:col>0</xdr:col>
      <xdr:colOff>1402209</xdr:colOff>
      <xdr:row>3</xdr:row>
      <xdr:rowOff>95250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E09E74AD-F0BD-0EFB-9820-843FE29529F5}"/>
            </a:ext>
          </a:extLst>
        </xdr:cNvPr>
        <xdr:cNvSpPr/>
      </xdr:nvSpPr>
      <xdr:spPr>
        <a:xfrm>
          <a:off x="78583" y="219075"/>
          <a:ext cx="1323626" cy="447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panose="020B0502040204020203" pitchFamily="34" charset="0"/>
              <a:cs typeface="Segoe UI" panose="020B0502040204020203" pitchFamily="34" charset="0"/>
            </a:rPr>
            <a:t>Workforce</a:t>
          </a:r>
        </a:p>
      </xdr:txBody>
    </xdr:sp>
    <xdr:clientData/>
  </xdr:twoCellAnchor>
  <xdr:twoCellAnchor editAs="oneCell">
    <xdr:from>
      <xdr:col>0</xdr:col>
      <xdr:colOff>381000</xdr:colOff>
      <xdr:row>35</xdr:row>
      <xdr:rowOff>154781</xdr:rowOff>
    </xdr:from>
    <xdr:to>
      <xdr:col>0</xdr:col>
      <xdr:colOff>990524</xdr:colOff>
      <xdr:row>39</xdr:row>
      <xdr:rowOff>2305</xdr:rowOff>
    </xdr:to>
    <xdr:pic>
      <xdr:nvPicPr>
        <xdr:cNvPr id="10" name="Picture 9">
          <a:extLst>
            <a:ext uri="{FF2B5EF4-FFF2-40B4-BE49-F238E27FC236}">
              <a16:creationId xmlns:a16="http://schemas.microsoft.com/office/drawing/2014/main" id="{57651800-E108-49CE-A8CD-2CFDC8FE4E6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1000" y="6822281"/>
          <a:ext cx="609524" cy="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0</xdr:row>
      <xdr:rowOff>104774</xdr:rowOff>
    </xdr:from>
    <xdr:to>
      <xdr:col>15</xdr:col>
      <xdr:colOff>266700</xdr:colOff>
      <xdr:row>30</xdr:row>
      <xdr:rowOff>9525</xdr:rowOff>
    </xdr:to>
    <xdr:sp macro="" textlink="">
      <xdr:nvSpPr>
        <xdr:cNvPr id="2" name="Rectangle: Rounded Corners 1">
          <a:extLst>
            <a:ext uri="{FF2B5EF4-FFF2-40B4-BE49-F238E27FC236}">
              <a16:creationId xmlns:a16="http://schemas.microsoft.com/office/drawing/2014/main" id="{E2EEEA2E-B60A-A4F8-1A23-7BC8AE561695}"/>
            </a:ext>
          </a:extLst>
        </xdr:cNvPr>
        <xdr:cNvSpPr/>
      </xdr:nvSpPr>
      <xdr:spPr>
        <a:xfrm>
          <a:off x="171450" y="104774"/>
          <a:ext cx="9239250" cy="5619751"/>
        </a:xfrm>
        <a:prstGeom prst="roundRect">
          <a:avLst>
            <a:gd name="adj" fmla="val 1631"/>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238125</xdr:colOff>
      <xdr:row>0</xdr:row>
      <xdr:rowOff>161924</xdr:rowOff>
    </xdr:from>
    <xdr:to>
      <xdr:col>15</xdr:col>
      <xdr:colOff>190500</xdr:colOff>
      <xdr:row>3</xdr:row>
      <xdr:rowOff>161925</xdr:rowOff>
    </xdr:to>
    <xdr:sp macro="" textlink="">
      <xdr:nvSpPr>
        <xdr:cNvPr id="3" name="Rectangle: Rounded Corners 2">
          <a:extLst>
            <a:ext uri="{FF2B5EF4-FFF2-40B4-BE49-F238E27FC236}">
              <a16:creationId xmlns:a16="http://schemas.microsoft.com/office/drawing/2014/main" id="{0AE4F99C-06A2-C243-0A0F-7C7F91BFB3AA}"/>
            </a:ext>
          </a:extLst>
        </xdr:cNvPr>
        <xdr:cNvSpPr/>
      </xdr:nvSpPr>
      <xdr:spPr>
        <a:xfrm>
          <a:off x="238125" y="161924"/>
          <a:ext cx="9096375" cy="5715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238124</xdr:colOff>
      <xdr:row>4</xdr:row>
      <xdr:rowOff>9524</xdr:rowOff>
    </xdr:from>
    <xdr:to>
      <xdr:col>2</xdr:col>
      <xdr:colOff>190499</xdr:colOff>
      <xdr:row>29</xdr:row>
      <xdr:rowOff>152399</xdr:rowOff>
    </xdr:to>
    <xdr:sp macro="" textlink="">
      <xdr:nvSpPr>
        <xdr:cNvPr id="4" name="Rectangle: Rounded Corners 3">
          <a:extLst>
            <a:ext uri="{FF2B5EF4-FFF2-40B4-BE49-F238E27FC236}">
              <a16:creationId xmlns:a16="http://schemas.microsoft.com/office/drawing/2014/main" id="{5E75DAF7-8D88-313A-B4C7-64271EBFAAAC}"/>
            </a:ext>
          </a:extLst>
        </xdr:cNvPr>
        <xdr:cNvSpPr/>
      </xdr:nvSpPr>
      <xdr:spPr>
        <a:xfrm>
          <a:off x="238124" y="771524"/>
          <a:ext cx="1171575" cy="4905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266699</xdr:colOff>
      <xdr:row>4</xdr:row>
      <xdr:rowOff>66675</xdr:rowOff>
    </xdr:from>
    <xdr:to>
      <xdr:col>4</xdr:col>
      <xdr:colOff>581024</xdr:colOff>
      <xdr:row>8</xdr:row>
      <xdr:rowOff>9525</xdr:rowOff>
    </xdr:to>
    <xdr:sp macro="" textlink="">
      <xdr:nvSpPr>
        <xdr:cNvPr id="5" name="Rectangle: Rounded Corners 4">
          <a:extLst>
            <a:ext uri="{FF2B5EF4-FFF2-40B4-BE49-F238E27FC236}">
              <a16:creationId xmlns:a16="http://schemas.microsoft.com/office/drawing/2014/main" id="{77B809B9-5E01-36A5-CC22-EE913CAE852B}"/>
            </a:ext>
          </a:extLst>
        </xdr:cNvPr>
        <xdr:cNvSpPr/>
      </xdr:nvSpPr>
      <xdr:spPr>
        <a:xfrm>
          <a:off x="1485899" y="828675"/>
          <a:ext cx="153352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Total</a:t>
          </a:r>
          <a:r>
            <a:rPr lang="en-US" sz="900" b="1" baseline="0">
              <a:solidFill>
                <a:schemeClr val="bg1"/>
              </a:solidFill>
              <a:latin typeface="Segoe UI" panose="020B0502040204020203" pitchFamily="34" charset="0"/>
              <a:cs typeface="Segoe UI" panose="020B0502040204020203" pitchFamily="34" charset="0"/>
            </a:rPr>
            <a:t> Headcounts</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419100</xdr:colOff>
      <xdr:row>1</xdr:row>
      <xdr:rowOff>45654</xdr:rowOff>
    </xdr:from>
    <xdr:to>
      <xdr:col>14</xdr:col>
      <xdr:colOff>570419</xdr:colOff>
      <xdr:row>3</xdr:row>
      <xdr:rowOff>95250</xdr:rowOff>
    </xdr:to>
    <xdr:sp macro="" textlink="">
      <xdr:nvSpPr>
        <xdr:cNvPr id="6" name="TextBox 5">
          <a:extLst>
            <a:ext uri="{FF2B5EF4-FFF2-40B4-BE49-F238E27FC236}">
              <a16:creationId xmlns:a16="http://schemas.microsoft.com/office/drawing/2014/main" id="{4D7A9B6C-C3A5-B653-AC12-BE36439EC4BA}"/>
            </a:ext>
          </a:extLst>
        </xdr:cNvPr>
        <xdr:cNvSpPr txBox="1"/>
      </xdr:nvSpPr>
      <xdr:spPr>
        <a:xfrm>
          <a:off x="419100" y="236154"/>
          <a:ext cx="8685719" cy="43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Segoe UI" panose="020B0502040204020203" pitchFamily="34" charset="0"/>
              <a:cs typeface="Segoe UI" panose="020B0502040204020203" pitchFamily="34" charset="0"/>
            </a:rPr>
            <a:t>HR ANALYTICS DASHBOARD </a:t>
          </a:r>
        </a:p>
      </xdr:txBody>
    </xdr:sp>
    <xdr:clientData/>
  </xdr:twoCellAnchor>
  <xdr:twoCellAnchor>
    <xdr:from>
      <xdr:col>0</xdr:col>
      <xdr:colOff>323851</xdr:colOff>
      <xdr:row>11</xdr:row>
      <xdr:rowOff>152400</xdr:rowOff>
    </xdr:from>
    <xdr:to>
      <xdr:col>2</xdr:col>
      <xdr:colOff>114301</xdr:colOff>
      <xdr:row>14</xdr:row>
      <xdr:rowOff>47625</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E38306B2-62C4-454C-8E11-F9F8914869B9}"/>
            </a:ext>
          </a:extLst>
        </xdr:cNvPr>
        <xdr:cNvSpPr/>
      </xdr:nvSpPr>
      <xdr:spPr>
        <a:xfrm>
          <a:off x="323851" y="2247900"/>
          <a:ext cx="1009650" cy="466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latin typeface="Segoe UI" panose="020B0502040204020203" pitchFamily="34" charset="0"/>
              <a:cs typeface="Segoe UI" panose="020B0502040204020203" pitchFamily="34" charset="0"/>
            </a:rPr>
            <a:t>Dataset</a:t>
          </a:r>
        </a:p>
      </xdr:txBody>
    </xdr:sp>
    <xdr:clientData/>
  </xdr:twoCellAnchor>
  <xdr:twoCellAnchor>
    <xdr:from>
      <xdr:col>0</xdr:col>
      <xdr:colOff>304801</xdr:colOff>
      <xdr:row>8</xdr:row>
      <xdr:rowOff>114300</xdr:rowOff>
    </xdr:from>
    <xdr:to>
      <xdr:col>2</xdr:col>
      <xdr:colOff>95251</xdr:colOff>
      <xdr:row>11</xdr:row>
      <xdr:rowOff>57150</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CD8D172B-EE0C-457A-8FE6-D1BAB1B6D2E7}"/>
            </a:ext>
          </a:extLst>
        </xdr:cNvPr>
        <xdr:cNvSpPr/>
      </xdr:nvSpPr>
      <xdr:spPr>
        <a:xfrm>
          <a:off x="304801" y="1638300"/>
          <a:ext cx="1009650"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latin typeface="Segoe UI" panose="020B0502040204020203" pitchFamily="34" charset="0"/>
              <a:cs typeface="Segoe UI" panose="020B0502040204020203" pitchFamily="34" charset="0"/>
            </a:rPr>
            <a:t>Performance</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304801</xdr:colOff>
      <xdr:row>5</xdr:row>
      <xdr:rowOff>38100</xdr:rowOff>
    </xdr:from>
    <xdr:to>
      <xdr:col>2</xdr:col>
      <xdr:colOff>95251</xdr:colOff>
      <xdr:row>7</xdr:row>
      <xdr:rowOff>161925</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33965CEA-1945-4D79-9BEE-875CE3BB379C}"/>
            </a:ext>
          </a:extLst>
        </xdr:cNvPr>
        <xdr:cNvSpPr/>
      </xdr:nvSpPr>
      <xdr:spPr>
        <a:xfrm>
          <a:off x="304801" y="990600"/>
          <a:ext cx="100965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latin typeface="Segoe UI" panose="020B0502040204020203" pitchFamily="34" charset="0"/>
              <a:cs typeface="Segoe UI" panose="020B0502040204020203" pitchFamily="34" charset="0"/>
            </a:rPr>
            <a:t>Workforce</a:t>
          </a:r>
        </a:p>
      </xdr:txBody>
    </xdr:sp>
    <xdr:clientData/>
  </xdr:twoCellAnchor>
  <xdr:twoCellAnchor>
    <xdr:from>
      <xdr:col>2</xdr:col>
      <xdr:colOff>352424</xdr:colOff>
      <xdr:row>5</xdr:row>
      <xdr:rowOff>154253</xdr:rowOff>
    </xdr:from>
    <xdr:to>
      <xdr:col>4</xdr:col>
      <xdr:colOff>494100</xdr:colOff>
      <xdr:row>7</xdr:row>
      <xdr:rowOff>57151</xdr:rowOff>
    </xdr:to>
    <xdr:sp macro="" textlink="Analysis!C4">
      <xdr:nvSpPr>
        <xdr:cNvPr id="16" name="TextBox 15">
          <a:extLst>
            <a:ext uri="{FF2B5EF4-FFF2-40B4-BE49-F238E27FC236}">
              <a16:creationId xmlns:a16="http://schemas.microsoft.com/office/drawing/2014/main" id="{A4D7EEE9-07EA-227F-C082-C8B0D66F2E26}"/>
            </a:ext>
          </a:extLst>
        </xdr:cNvPr>
        <xdr:cNvSpPr txBox="1"/>
      </xdr:nvSpPr>
      <xdr:spPr>
        <a:xfrm>
          <a:off x="1571624" y="1106753"/>
          <a:ext cx="1360876" cy="283898"/>
        </a:xfrm>
        <a:prstGeom prst="rect">
          <a:avLst/>
        </a:prstGeom>
        <a:noFill/>
        <a:ln w="28575" cmpd="sng">
          <a:solidFill>
            <a:schemeClr val="accent1">
              <a:lumMod val="50000"/>
            </a:schemeClr>
          </a:solid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C8E06B-3ED0-4B90-9280-BC2E60754345}" type="TxLink">
            <a:rPr lang="en-US" sz="1100" b="1" i="0" u="none" strike="noStrike">
              <a:solidFill>
                <a:schemeClr val="bg1"/>
              </a:solidFill>
              <a:latin typeface="Segoe UI" panose="020B0502040204020203" pitchFamily="34" charset="0"/>
              <a:cs typeface="Segoe UI" panose="020B0502040204020203" pitchFamily="34" charset="0"/>
            </a:rPr>
            <a:pPr algn="ctr"/>
            <a:t>150</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5</xdr:col>
      <xdr:colOff>66675</xdr:colOff>
      <xdr:row>4</xdr:row>
      <xdr:rowOff>76200</xdr:rowOff>
    </xdr:from>
    <xdr:to>
      <xdr:col>7</xdr:col>
      <xdr:colOff>390525</xdr:colOff>
      <xdr:row>8</xdr:row>
      <xdr:rowOff>28575</xdr:rowOff>
    </xdr:to>
    <xdr:sp macro="" textlink="">
      <xdr:nvSpPr>
        <xdr:cNvPr id="7" name="Rectangle: Rounded Corners 6">
          <a:extLst>
            <a:ext uri="{FF2B5EF4-FFF2-40B4-BE49-F238E27FC236}">
              <a16:creationId xmlns:a16="http://schemas.microsoft.com/office/drawing/2014/main" id="{6D1333FE-AD0D-4157-9D16-4149BD5AB210}"/>
            </a:ext>
          </a:extLst>
        </xdr:cNvPr>
        <xdr:cNvSpPr/>
      </xdr:nvSpPr>
      <xdr:spPr>
        <a:xfrm>
          <a:off x="3114675" y="838200"/>
          <a:ext cx="15430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Avg.</a:t>
          </a:r>
          <a:r>
            <a:rPr lang="en-US" sz="900" b="1" baseline="0">
              <a:solidFill>
                <a:schemeClr val="bg1"/>
              </a:solidFill>
              <a:latin typeface="Segoe UI" panose="020B0502040204020203" pitchFamily="34" charset="0"/>
              <a:cs typeface="Segoe UI" panose="020B0502040204020203" pitchFamily="34" charset="0"/>
            </a:rPr>
            <a:t> Salary</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5</xdr:col>
      <xdr:colOff>161924</xdr:colOff>
      <xdr:row>5</xdr:row>
      <xdr:rowOff>159942</xdr:rowOff>
    </xdr:from>
    <xdr:to>
      <xdr:col>7</xdr:col>
      <xdr:colOff>275843</xdr:colOff>
      <xdr:row>7</xdr:row>
      <xdr:rowOff>66676</xdr:rowOff>
    </xdr:to>
    <xdr:sp macro="" textlink="Analysis!E4">
      <xdr:nvSpPr>
        <xdr:cNvPr id="8" name="TextBox 7">
          <a:extLst>
            <a:ext uri="{FF2B5EF4-FFF2-40B4-BE49-F238E27FC236}">
              <a16:creationId xmlns:a16="http://schemas.microsoft.com/office/drawing/2014/main" id="{A408997B-D71A-49A9-AFD4-B9E78809F14C}"/>
            </a:ext>
          </a:extLst>
        </xdr:cNvPr>
        <xdr:cNvSpPr txBox="1"/>
      </xdr:nvSpPr>
      <xdr:spPr>
        <a:xfrm>
          <a:off x="3209924" y="1112442"/>
          <a:ext cx="1333119" cy="28773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C3BAF-AF51-4E70-90B1-920C0381FB0C}" type="TxLink">
            <a:rPr lang="en-US" sz="1100" b="1" i="0" u="none" strike="noStrike">
              <a:solidFill>
                <a:schemeClr val="bg1"/>
              </a:solidFill>
              <a:latin typeface="Calibri"/>
              <a:cs typeface="Calibri"/>
            </a:rPr>
            <a:pPr algn="ctr"/>
            <a:t>$83,341</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495300</xdr:colOff>
      <xdr:row>4</xdr:row>
      <xdr:rowOff>66675</xdr:rowOff>
    </xdr:from>
    <xdr:to>
      <xdr:col>10</xdr:col>
      <xdr:colOff>114300</xdr:colOff>
      <xdr:row>8</xdr:row>
      <xdr:rowOff>28575</xdr:rowOff>
    </xdr:to>
    <xdr:sp macro="" textlink="">
      <xdr:nvSpPr>
        <xdr:cNvPr id="12" name="Rectangle: Rounded Corners 11">
          <a:extLst>
            <a:ext uri="{FF2B5EF4-FFF2-40B4-BE49-F238E27FC236}">
              <a16:creationId xmlns:a16="http://schemas.microsoft.com/office/drawing/2014/main" id="{C67D4479-E059-4112-A361-F27EEE72D615}"/>
            </a:ext>
          </a:extLst>
        </xdr:cNvPr>
        <xdr:cNvSpPr/>
      </xdr:nvSpPr>
      <xdr:spPr>
        <a:xfrm>
          <a:off x="4762500" y="828675"/>
          <a:ext cx="144780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i="0">
              <a:solidFill>
                <a:schemeClr val="lt1"/>
              </a:solidFill>
              <a:effectLst/>
              <a:latin typeface="+mn-lt"/>
              <a:ea typeface="+mn-ea"/>
              <a:cs typeface="+mn-cs"/>
            </a:rPr>
            <a:t>Overall Attrition Rate</a:t>
          </a:r>
          <a:endParaRPr lang="en-US" sz="7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576893</xdr:colOff>
      <xdr:row>5</xdr:row>
      <xdr:rowOff>156104</xdr:rowOff>
    </xdr:from>
    <xdr:to>
      <xdr:col>9</xdr:col>
      <xdr:colOff>596184</xdr:colOff>
      <xdr:row>7</xdr:row>
      <xdr:rowOff>66675</xdr:rowOff>
    </xdr:to>
    <xdr:sp macro="" textlink="Analysis!L36">
      <xdr:nvSpPr>
        <xdr:cNvPr id="13" name="TextBox 12">
          <a:extLst>
            <a:ext uri="{FF2B5EF4-FFF2-40B4-BE49-F238E27FC236}">
              <a16:creationId xmlns:a16="http://schemas.microsoft.com/office/drawing/2014/main" id="{F6E57A59-8A10-4405-B420-4923A9E61877}"/>
            </a:ext>
          </a:extLst>
        </xdr:cNvPr>
        <xdr:cNvSpPr txBox="1"/>
      </xdr:nvSpPr>
      <xdr:spPr>
        <a:xfrm>
          <a:off x="4844093" y="1108604"/>
          <a:ext cx="1238491" cy="291571"/>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BEC23D-3849-4654-9A39-7CCC7CE43020}" type="TxLink">
            <a:rPr lang="en-US" sz="1100" b="1" i="0" u="none" strike="noStrike">
              <a:solidFill>
                <a:schemeClr val="bg1"/>
              </a:solidFill>
              <a:latin typeface="Segoe UI" panose="020B0502040204020203" pitchFamily="34" charset="0"/>
              <a:cs typeface="Segoe UI" panose="020B0502040204020203" pitchFamily="34" charset="0"/>
            </a:rPr>
            <a:pPr algn="ctr"/>
            <a:t>16%</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10</xdr:col>
      <xdr:colOff>202171</xdr:colOff>
      <xdr:row>5</xdr:row>
      <xdr:rowOff>152401</xdr:rowOff>
    </xdr:from>
    <xdr:to>
      <xdr:col>12</xdr:col>
      <xdr:colOff>369203</xdr:colOff>
      <xdr:row>7</xdr:row>
      <xdr:rowOff>66675</xdr:rowOff>
    </xdr:to>
    <xdr:sp macro="" textlink="Analysis!C4">
      <xdr:nvSpPr>
        <xdr:cNvPr id="18" name="TextBox 17">
          <a:extLst>
            <a:ext uri="{FF2B5EF4-FFF2-40B4-BE49-F238E27FC236}">
              <a16:creationId xmlns:a16="http://schemas.microsoft.com/office/drawing/2014/main" id="{A80AF4D9-D69B-460F-AD37-32243AF1BA4E}"/>
            </a:ext>
          </a:extLst>
        </xdr:cNvPr>
        <xdr:cNvSpPr txBox="1"/>
      </xdr:nvSpPr>
      <xdr:spPr>
        <a:xfrm>
          <a:off x="6298171" y="1104901"/>
          <a:ext cx="1386232" cy="29527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C8E06B-3ED0-4B90-9280-BC2E60754345}" type="TxLink">
            <a:rPr lang="en-US" sz="1100" b="0" i="0" u="none" strike="noStrike">
              <a:solidFill>
                <a:schemeClr val="bg1"/>
              </a:solidFill>
              <a:latin typeface="Segoe UI" panose="020B0502040204020203" pitchFamily="34" charset="0"/>
              <a:cs typeface="Segoe UI" panose="020B0502040204020203" pitchFamily="34" charset="0"/>
            </a:rPr>
            <a:pPr algn="ctr"/>
            <a:t>150</a:t>
          </a:fld>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285751</xdr:colOff>
      <xdr:row>8</xdr:row>
      <xdr:rowOff>76200</xdr:rowOff>
    </xdr:from>
    <xdr:to>
      <xdr:col>7</xdr:col>
      <xdr:colOff>390525</xdr:colOff>
      <xdr:row>18</xdr:row>
      <xdr:rowOff>95250</xdr:rowOff>
    </xdr:to>
    <xdr:sp macro="" textlink="">
      <xdr:nvSpPr>
        <xdr:cNvPr id="30" name="Rectangle: Rounded Corners 29">
          <a:extLst>
            <a:ext uri="{FF2B5EF4-FFF2-40B4-BE49-F238E27FC236}">
              <a16:creationId xmlns:a16="http://schemas.microsoft.com/office/drawing/2014/main" id="{08A950BA-2B55-4277-B645-AC7FC9BAE31A}"/>
            </a:ext>
          </a:extLst>
        </xdr:cNvPr>
        <xdr:cNvSpPr/>
      </xdr:nvSpPr>
      <xdr:spPr>
        <a:xfrm>
          <a:off x="1504951" y="1600200"/>
          <a:ext cx="3152774" cy="192405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438150</xdr:colOff>
      <xdr:row>18</xdr:row>
      <xdr:rowOff>180974</xdr:rowOff>
    </xdr:from>
    <xdr:to>
      <xdr:col>12</xdr:col>
      <xdr:colOff>504825</xdr:colOff>
      <xdr:row>29</xdr:row>
      <xdr:rowOff>66675</xdr:rowOff>
    </xdr:to>
    <xdr:sp macro="" textlink="">
      <xdr:nvSpPr>
        <xdr:cNvPr id="31" name="Rectangle: Rounded Corners 30">
          <a:extLst>
            <a:ext uri="{FF2B5EF4-FFF2-40B4-BE49-F238E27FC236}">
              <a16:creationId xmlns:a16="http://schemas.microsoft.com/office/drawing/2014/main" id="{2C1AFDBB-883A-4479-A390-B3D39D382E58}"/>
            </a:ext>
          </a:extLst>
        </xdr:cNvPr>
        <xdr:cNvSpPr/>
      </xdr:nvSpPr>
      <xdr:spPr>
        <a:xfrm>
          <a:off x="4705350" y="3609974"/>
          <a:ext cx="3114675" cy="1981201"/>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447674</xdr:colOff>
      <xdr:row>8</xdr:row>
      <xdr:rowOff>85725</xdr:rowOff>
    </xdr:from>
    <xdr:to>
      <xdr:col>12</xdr:col>
      <xdr:colOff>514349</xdr:colOff>
      <xdr:row>18</xdr:row>
      <xdr:rowOff>123825</xdr:rowOff>
    </xdr:to>
    <xdr:sp macro="" textlink="">
      <xdr:nvSpPr>
        <xdr:cNvPr id="32" name="Rectangle: Rounded Corners 31">
          <a:extLst>
            <a:ext uri="{FF2B5EF4-FFF2-40B4-BE49-F238E27FC236}">
              <a16:creationId xmlns:a16="http://schemas.microsoft.com/office/drawing/2014/main" id="{6E0EC770-D778-448F-A958-061E930F2628}"/>
            </a:ext>
          </a:extLst>
        </xdr:cNvPr>
        <xdr:cNvSpPr/>
      </xdr:nvSpPr>
      <xdr:spPr>
        <a:xfrm>
          <a:off x="4714874" y="1609725"/>
          <a:ext cx="3114675" cy="194310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18</xdr:row>
      <xdr:rowOff>161925</xdr:rowOff>
    </xdr:from>
    <xdr:to>
      <xdr:col>7</xdr:col>
      <xdr:colOff>381000</xdr:colOff>
      <xdr:row>29</xdr:row>
      <xdr:rowOff>66675</xdr:rowOff>
    </xdr:to>
    <xdr:sp macro="" textlink="">
      <xdr:nvSpPr>
        <xdr:cNvPr id="33" name="Rectangle: Rounded Corners 32">
          <a:extLst>
            <a:ext uri="{FF2B5EF4-FFF2-40B4-BE49-F238E27FC236}">
              <a16:creationId xmlns:a16="http://schemas.microsoft.com/office/drawing/2014/main" id="{9AC87DDF-5CEA-403C-B3EE-A25EDBE5A5C2}"/>
            </a:ext>
          </a:extLst>
        </xdr:cNvPr>
        <xdr:cNvSpPr/>
      </xdr:nvSpPr>
      <xdr:spPr>
        <a:xfrm>
          <a:off x="1485900" y="3590925"/>
          <a:ext cx="3162300" cy="200025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314326</xdr:colOff>
      <xdr:row>8</xdr:row>
      <xdr:rowOff>85725</xdr:rowOff>
    </xdr:from>
    <xdr:to>
      <xdr:col>7</xdr:col>
      <xdr:colOff>295275</xdr:colOff>
      <xdr:row>18</xdr:row>
      <xdr:rowOff>123824</xdr:rowOff>
    </xdr:to>
    <xdr:graphicFrame macro="">
      <xdr:nvGraphicFramePr>
        <xdr:cNvPr id="34" name="Chart 33">
          <a:extLst>
            <a:ext uri="{FF2B5EF4-FFF2-40B4-BE49-F238E27FC236}">
              <a16:creationId xmlns:a16="http://schemas.microsoft.com/office/drawing/2014/main" id="{255D12E3-041D-4B71-8D24-861535878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409575</xdr:colOff>
      <xdr:row>8</xdr:row>
      <xdr:rowOff>76200</xdr:rowOff>
    </xdr:from>
    <xdr:to>
      <xdr:col>12</xdr:col>
      <xdr:colOff>485775</xdr:colOff>
      <xdr:row>18</xdr:row>
      <xdr:rowOff>95250</xdr:rowOff>
    </xdr:to>
    <xdr:graphicFrame macro="">
      <xdr:nvGraphicFramePr>
        <xdr:cNvPr id="37" name="Chart 36">
          <a:extLst>
            <a:ext uri="{FF2B5EF4-FFF2-40B4-BE49-F238E27FC236}">
              <a16:creationId xmlns:a16="http://schemas.microsoft.com/office/drawing/2014/main" id="{7FD94019-08FF-4FA8-94BD-68949730F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200024</xdr:colOff>
      <xdr:row>4</xdr:row>
      <xdr:rowOff>62077</xdr:rowOff>
    </xdr:from>
    <xdr:to>
      <xdr:col>12</xdr:col>
      <xdr:colOff>495299</xdr:colOff>
      <xdr:row>8</xdr:row>
      <xdr:rowOff>33173</xdr:rowOff>
    </xdr:to>
    <xdr:sp macro="" textlink="">
      <xdr:nvSpPr>
        <xdr:cNvPr id="38" name="Rectangle: Rounded Corners 37">
          <a:extLst>
            <a:ext uri="{FF2B5EF4-FFF2-40B4-BE49-F238E27FC236}">
              <a16:creationId xmlns:a16="http://schemas.microsoft.com/office/drawing/2014/main" id="{1D049129-3B77-87E5-E199-025967F8E653}"/>
            </a:ext>
          </a:extLst>
        </xdr:cNvPr>
        <xdr:cNvSpPr/>
      </xdr:nvSpPr>
      <xdr:spPr>
        <a:xfrm>
          <a:off x="6296024" y="824077"/>
          <a:ext cx="1514475" cy="7330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Total</a:t>
          </a:r>
          <a:r>
            <a:rPr lang="en-US" sz="900" b="1" baseline="0">
              <a:solidFill>
                <a:schemeClr val="bg1"/>
              </a:solidFill>
              <a:latin typeface="Segoe UI" panose="020B0502040204020203" pitchFamily="34" charset="0"/>
              <a:cs typeface="Segoe UI" panose="020B0502040204020203" pitchFamily="34" charset="0"/>
            </a:rPr>
            <a:t> Bonus Payout</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10</xdr:col>
      <xdr:colOff>301583</xdr:colOff>
      <xdr:row>5</xdr:row>
      <xdr:rowOff>152401</xdr:rowOff>
    </xdr:from>
    <xdr:to>
      <xdr:col>12</xdr:col>
      <xdr:colOff>426352</xdr:colOff>
      <xdr:row>7</xdr:row>
      <xdr:rowOff>66675</xdr:rowOff>
    </xdr:to>
    <xdr:sp macro="" textlink="Analysis!G68">
      <xdr:nvSpPr>
        <xdr:cNvPr id="39" name="TextBox 38">
          <a:extLst>
            <a:ext uri="{FF2B5EF4-FFF2-40B4-BE49-F238E27FC236}">
              <a16:creationId xmlns:a16="http://schemas.microsoft.com/office/drawing/2014/main" id="{707B01C8-B1D9-CDAA-A859-F08B13E11628}"/>
            </a:ext>
          </a:extLst>
        </xdr:cNvPr>
        <xdr:cNvSpPr txBox="1"/>
      </xdr:nvSpPr>
      <xdr:spPr>
        <a:xfrm>
          <a:off x="6397583" y="1104901"/>
          <a:ext cx="1343969" cy="29527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4B1C56-F74A-43B4-899A-CC513B086E9E}" type="TxLink">
            <a:rPr lang="en-US" sz="1100" b="1" i="0" u="none" strike="noStrike">
              <a:solidFill>
                <a:schemeClr val="bg1"/>
              </a:solidFill>
              <a:latin typeface="Calibri"/>
              <a:cs typeface="Calibri"/>
            </a:rPr>
            <a:pPr algn="ctr"/>
            <a:t>$485,381.72</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295276</xdr:colOff>
      <xdr:row>19</xdr:row>
      <xdr:rowOff>0</xdr:rowOff>
    </xdr:from>
    <xdr:to>
      <xdr:col>7</xdr:col>
      <xdr:colOff>371475</xdr:colOff>
      <xdr:row>29</xdr:row>
      <xdr:rowOff>57150</xdr:rowOff>
    </xdr:to>
    <xdr:graphicFrame macro="">
      <xdr:nvGraphicFramePr>
        <xdr:cNvPr id="40" name="Chart 39">
          <a:extLst>
            <a:ext uri="{FF2B5EF4-FFF2-40B4-BE49-F238E27FC236}">
              <a16:creationId xmlns:a16="http://schemas.microsoft.com/office/drawing/2014/main" id="{CE3CA8D2-0FBB-4C87-814A-F8E1958B9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400049</xdr:colOff>
      <xdr:row>19</xdr:row>
      <xdr:rowOff>9525</xdr:rowOff>
    </xdr:from>
    <xdr:to>
      <xdr:col>12</xdr:col>
      <xdr:colOff>523875</xdr:colOff>
      <xdr:row>29</xdr:row>
      <xdr:rowOff>28575</xdr:rowOff>
    </xdr:to>
    <xdr:graphicFrame macro="">
      <xdr:nvGraphicFramePr>
        <xdr:cNvPr id="41" name="Chart 40">
          <a:extLst>
            <a:ext uri="{FF2B5EF4-FFF2-40B4-BE49-F238E27FC236}">
              <a16:creationId xmlns:a16="http://schemas.microsoft.com/office/drawing/2014/main" id="{6EA0D438-5C87-49D5-8AC0-C9933413C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561975</xdr:colOff>
      <xdr:row>4</xdr:row>
      <xdr:rowOff>0</xdr:rowOff>
    </xdr:from>
    <xdr:to>
      <xdr:col>15</xdr:col>
      <xdr:colOff>238124</xdr:colOff>
      <xdr:row>14</xdr:row>
      <xdr:rowOff>76200</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3400B4C7-56A1-45E6-B22B-D4919DD51F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77175" y="762000"/>
              <a:ext cx="1504949"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561975</xdr:colOff>
      <xdr:row>14</xdr:row>
      <xdr:rowOff>114300</xdr:rowOff>
    </xdr:from>
    <xdr:to>
      <xdr:col>15</xdr:col>
      <xdr:colOff>266700</xdr:colOff>
      <xdr:row>19</xdr:row>
      <xdr:rowOff>57150</xdr:rowOff>
    </xdr:to>
    <mc:AlternateContent xmlns:mc="http://schemas.openxmlformats.org/markup-compatibility/2006" xmlns:a14="http://schemas.microsoft.com/office/drawing/2010/main">
      <mc:Choice Requires="a14">
        <xdr:graphicFrame macro="">
          <xdr:nvGraphicFramePr>
            <xdr:cNvPr id="43" name="Employment Status">
              <a:extLst>
                <a:ext uri="{FF2B5EF4-FFF2-40B4-BE49-F238E27FC236}">
                  <a16:creationId xmlns:a16="http://schemas.microsoft.com/office/drawing/2014/main" id="{7DD60D75-022C-4B5A-9AB3-0BDE566BD6F3}"/>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7877175" y="2781300"/>
              <a:ext cx="15335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19</xdr:row>
      <xdr:rowOff>104775</xdr:rowOff>
    </xdr:from>
    <xdr:to>
      <xdr:col>15</xdr:col>
      <xdr:colOff>238125</xdr:colOff>
      <xdr:row>29</xdr:row>
      <xdr:rowOff>171449</xdr:rowOff>
    </xdr:to>
    <mc:AlternateContent xmlns:mc="http://schemas.openxmlformats.org/markup-compatibility/2006" xmlns:a14="http://schemas.microsoft.com/office/drawing/2010/main">
      <mc:Choice Requires="a14">
        <xdr:graphicFrame macro="">
          <xdr:nvGraphicFramePr>
            <xdr:cNvPr id="44" name="Employment Year">
              <a:extLst>
                <a:ext uri="{FF2B5EF4-FFF2-40B4-BE49-F238E27FC236}">
                  <a16:creationId xmlns:a16="http://schemas.microsoft.com/office/drawing/2014/main" id="{7985CDE8-3797-4501-8305-01294B6C9E43}"/>
                </a:ext>
              </a:extLst>
            </xdr:cNvPr>
            <xdr:cNvGraphicFramePr/>
          </xdr:nvGraphicFramePr>
          <xdr:xfrm>
            <a:off x="0" y="0"/>
            <a:ext cx="0" cy="0"/>
          </xdr:xfrm>
          <a:graphic>
            <a:graphicData uri="http://schemas.microsoft.com/office/drawing/2010/slicer">
              <sle:slicer xmlns:sle="http://schemas.microsoft.com/office/drawing/2010/slicer" name="Employment Year"/>
            </a:graphicData>
          </a:graphic>
        </xdr:graphicFrame>
      </mc:Choice>
      <mc:Fallback xmlns="">
        <xdr:sp macro="" textlink="">
          <xdr:nvSpPr>
            <xdr:cNvPr id="0" name=""/>
            <xdr:cNvSpPr>
              <a:spLocks noTextEdit="1"/>
            </xdr:cNvSpPr>
          </xdr:nvSpPr>
          <xdr:spPr>
            <a:xfrm>
              <a:off x="7867650" y="3724275"/>
              <a:ext cx="1514475"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0</xdr:row>
      <xdr:rowOff>171450</xdr:rowOff>
    </xdr:from>
    <xdr:to>
      <xdr:col>2</xdr:col>
      <xdr:colOff>485776</xdr:colOff>
      <xdr:row>3</xdr:row>
      <xdr:rowOff>142875</xdr:rowOff>
    </xdr:to>
    <xdr:pic>
      <xdr:nvPicPr>
        <xdr:cNvPr id="25" name="Picture 24">
          <a:extLst>
            <a:ext uri="{FF2B5EF4-FFF2-40B4-BE49-F238E27FC236}">
              <a16:creationId xmlns:a16="http://schemas.microsoft.com/office/drawing/2014/main" id="{3D8C314D-77A5-7FD6-EAEE-5F6341BF5C02}"/>
            </a:ext>
          </a:extLst>
        </xdr:cNvPr>
        <xdr:cNvPicPr>
          <a:picLocks noChangeAspect="1"/>
        </xdr:cNvPicPr>
      </xdr:nvPicPr>
      <xdr:blipFill rotWithShape="1">
        <a:blip xmlns:r="http://schemas.openxmlformats.org/officeDocument/2006/relationships" r:embed="rId8" cstate="print">
          <a:duotone>
            <a:schemeClr val="accent1">
              <a:shade val="45000"/>
              <a:satMod val="135000"/>
            </a:schemeClr>
            <a:prstClr val="white"/>
          </a:duotone>
          <a:extLst>
            <a:ext uri="{BEBA8EAE-BF5A-486C-A8C5-ECC9F3942E4B}">
              <a14:imgProps xmlns:a14="http://schemas.microsoft.com/office/drawing/2010/main">
                <a14:imgLayer r:embed="rId9">
                  <a14:imgEffect>
                    <a14:saturation sat="66000"/>
                  </a14:imgEffect>
                </a14:imgLayer>
              </a14:imgProps>
            </a:ext>
            <a:ext uri="{28A0092B-C50C-407E-A947-70E740481C1C}">
              <a14:useLocalDpi xmlns:a14="http://schemas.microsoft.com/office/drawing/2010/main" val="0"/>
            </a:ext>
          </a:extLst>
        </a:blip>
        <a:srcRect l="14468" t="11574" r="13772" b="13194"/>
        <a:stretch/>
      </xdr:blipFill>
      <xdr:spPr>
        <a:xfrm>
          <a:off x="304800" y="171450"/>
          <a:ext cx="1400176" cy="542925"/>
        </a:xfrm>
        <a:prstGeom prst="rect">
          <a:avLst/>
        </a:prstGeom>
      </xdr:spPr>
    </xdr:pic>
    <xdr:clientData/>
  </xdr:twoCellAnchor>
  <xdr:twoCellAnchor editAs="oneCell">
    <xdr:from>
      <xdr:col>3</xdr:col>
      <xdr:colOff>171450</xdr:colOff>
      <xdr:row>3</xdr:row>
      <xdr:rowOff>47626</xdr:rowOff>
    </xdr:from>
    <xdr:to>
      <xdr:col>4</xdr:col>
      <xdr:colOff>94190</xdr:colOff>
      <xdr:row>4</xdr:row>
      <xdr:rowOff>142876</xdr:rowOff>
    </xdr:to>
    <xdr:pic>
      <xdr:nvPicPr>
        <xdr:cNvPr id="35" name="Picture 34">
          <a:extLst>
            <a:ext uri="{FF2B5EF4-FFF2-40B4-BE49-F238E27FC236}">
              <a16:creationId xmlns:a16="http://schemas.microsoft.com/office/drawing/2014/main" id="{42B3E1E9-94C2-42D4-A698-759950F9766A}"/>
            </a:ext>
          </a:extLst>
        </xdr:cNvPr>
        <xdr:cNvPicPr>
          <a:picLocks noChangeAspect="1"/>
        </xdr:cNvPicPr>
      </xdr:nvPicPr>
      <xdr:blipFill rotWithShape="1">
        <a:blip xmlns:r="http://schemas.openxmlformats.org/officeDocument/2006/relationships" r:embed="rId10" cstate="print">
          <a:biLevel thresh="50000"/>
          <a:extLst>
            <a:ext uri="{BEBA8EAE-BF5A-486C-A8C5-ECC9F3942E4B}">
              <a14:imgProps xmlns:a14="http://schemas.microsoft.com/office/drawing/2010/main">
                <a14:imgLayer r:embed="rId11">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rcRect l="5216" t="1732" r="4384" b="13196"/>
        <a:stretch/>
      </xdr:blipFill>
      <xdr:spPr>
        <a:xfrm>
          <a:off x="2000250" y="619126"/>
          <a:ext cx="532340" cy="285750"/>
        </a:xfrm>
        <a:prstGeom prst="rect">
          <a:avLst/>
        </a:prstGeom>
      </xdr:spPr>
    </xdr:pic>
    <xdr:clientData/>
  </xdr:twoCellAnchor>
  <xdr:twoCellAnchor editAs="oneCell">
    <xdr:from>
      <xdr:col>8</xdr:col>
      <xdr:colOff>446616</xdr:colOff>
      <xdr:row>3</xdr:row>
      <xdr:rowOff>100542</xdr:rowOff>
    </xdr:from>
    <xdr:to>
      <xdr:col>9</xdr:col>
      <xdr:colOff>292099</xdr:colOff>
      <xdr:row>5</xdr:row>
      <xdr:rowOff>15875</xdr:rowOff>
    </xdr:to>
    <xdr:pic>
      <xdr:nvPicPr>
        <xdr:cNvPr id="36" name="Picture 35">
          <a:extLst>
            <a:ext uri="{FF2B5EF4-FFF2-40B4-BE49-F238E27FC236}">
              <a16:creationId xmlns:a16="http://schemas.microsoft.com/office/drawing/2014/main" id="{D41D33DD-E947-4CA1-BB97-F70AE253FC40}"/>
            </a:ext>
          </a:extLst>
        </xdr:cNvPr>
        <xdr:cNvPicPr>
          <a:picLocks noChangeAspect="1"/>
        </xdr:cNvPicPr>
      </xdr:nvPicPr>
      <xdr:blipFill>
        <a:blip xmlns:r="http://schemas.openxmlformats.org/officeDocument/2006/relationships" r:embed="rId1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323416" y="672042"/>
          <a:ext cx="455083" cy="296333"/>
        </a:xfrm>
        <a:prstGeom prst="rect">
          <a:avLst/>
        </a:prstGeom>
        <a:ln>
          <a:noFill/>
        </a:ln>
        <a:effectLst>
          <a:outerShdw blurRad="107950" dist="12700" dir="5400000" algn="ctr">
            <a:srgbClr val="000000"/>
          </a:outerShdw>
        </a:effectLst>
      </xdr:spPr>
    </xdr:pic>
    <xdr:clientData/>
  </xdr:twoCellAnchor>
  <xdr:twoCellAnchor editAs="oneCell">
    <xdr:from>
      <xdr:col>6</xdr:col>
      <xdr:colOff>8465</xdr:colOff>
      <xdr:row>3</xdr:row>
      <xdr:rowOff>76200</xdr:rowOff>
    </xdr:from>
    <xdr:to>
      <xdr:col>6</xdr:col>
      <xdr:colOff>551140</xdr:colOff>
      <xdr:row>4</xdr:row>
      <xdr:rowOff>161924</xdr:rowOff>
    </xdr:to>
    <xdr:pic>
      <xdr:nvPicPr>
        <xdr:cNvPr id="45" name="Picture 44">
          <a:extLst>
            <a:ext uri="{FF2B5EF4-FFF2-40B4-BE49-F238E27FC236}">
              <a16:creationId xmlns:a16="http://schemas.microsoft.com/office/drawing/2014/main" id="{C61FAF86-15F4-4AC1-B1DB-A1751FA9BBBB}"/>
            </a:ext>
          </a:extLst>
        </xdr:cNvPr>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artisticTexturizer/>
                  </a14:imgEffect>
                  <a14:imgEffect>
                    <a14:colorTemperature colorTemp="4700"/>
                  </a14:imgEffect>
                </a14:imgLayer>
              </a14:imgProps>
            </a:ext>
            <a:ext uri="{28A0092B-C50C-407E-A947-70E740481C1C}">
              <a14:useLocalDpi xmlns:a14="http://schemas.microsoft.com/office/drawing/2010/main" val="0"/>
            </a:ext>
          </a:extLst>
        </a:blip>
        <a:srcRect l="15377" t="17824" r="17162" b="15106"/>
        <a:stretch/>
      </xdr:blipFill>
      <xdr:spPr>
        <a:xfrm>
          <a:off x="3666065" y="647700"/>
          <a:ext cx="542675" cy="276224"/>
        </a:xfrm>
        <a:prstGeom prst="rect">
          <a:avLst/>
        </a:prstGeom>
        <a:ln>
          <a:noFill/>
        </a:ln>
        <a:effectLst>
          <a:outerShdw blurRad="107950" dist="12700" dir="5400000" algn="ctr">
            <a:srgbClr val="000000"/>
          </a:outerShdw>
        </a:effectLst>
      </xdr:spPr>
    </xdr:pic>
    <xdr:clientData/>
  </xdr:twoCellAnchor>
  <xdr:twoCellAnchor editAs="oneCell">
    <xdr:from>
      <xdr:col>11</xdr:col>
      <xdr:colOff>122761</xdr:colOff>
      <xdr:row>3</xdr:row>
      <xdr:rowOff>66676</xdr:rowOff>
    </xdr:from>
    <xdr:to>
      <xdr:col>11</xdr:col>
      <xdr:colOff>575731</xdr:colOff>
      <xdr:row>4</xdr:row>
      <xdr:rowOff>161926</xdr:rowOff>
    </xdr:to>
    <xdr:pic>
      <xdr:nvPicPr>
        <xdr:cNvPr id="46" name="Picture 45">
          <a:extLst>
            <a:ext uri="{FF2B5EF4-FFF2-40B4-BE49-F238E27FC236}">
              <a16:creationId xmlns:a16="http://schemas.microsoft.com/office/drawing/2014/main" id="{31DB674F-64E2-4960-8391-28D0D2B782F5}"/>
            </a:ext>
          </a:extLst>
        </xdr:cNvPr>
        <xdr:cNvPicPr>
          <a:picLocks noChangeAspect="1"/>
        </xdr:cNvPicPr>
      </xdr:nvPicPr>
      <xdr:blipFill>
        <a:blip xmlns:r="http://schemas.openxmlformats.org/officeDocument/2006/relationships" r:embed="rId1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6828361" y="638176"/>
          <a:ext cx="452970" cy="285750"/>
        </a:xfrm>
        <a:prstGeom prst="rect">
          <a:avLst/>
        </a:prstGeom>
      </xdr:spPr>
    </xdr:pic>
    <xdr:clientData/>
  </xdr:twoCellAnchor>
  <xdr:twoCellAnchor editAs="oneCell">
    <xdr:from>
      <xdr:col>0</xdr:col>
      <xdr:colOff>485775</xdr:colOff>
      <xdr:row>26</xdr:row>
      <xdr:rowOff>0</xdr:rowOff>
    </xdr:from>
    <xdr:to>
      <xdr:col>1</xdr:col>
      <xdr:colOff>485699</xdr:colOff>
      <xdr:row>29</xdr:row>
      <xdr:rowOff>38024</xdr:rowOff>
    </xdr:to>
    <xdr:pic>
      <xdr:nvPicPr>
        <xdr:cNvPr id="48" name="Picture 47">
          <a:hlinkClick xmlns:r="http://schemas.openxmlformats.org/officeDocument/2006/relationships" r:id="rId16"/>
          <a:extLst>
            <a:ext uri="{FF2B5EF4-FFF2-40B4-BE49-F238E27FC236}">
              <a16:creationId xmlns:a16="http://schemas.microsoft.com/office/drawing/2014/main" id="{EF41F1C7-10BB-D4F0-863D-BB117502F96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85775" y="4953000"/>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171450</xdr:colOff>
      <xdr:row>0</xdr:row>
      <xdr:rowOff>152400</xdr:rowOff>
    </xdr:from>
    <xdr:to>
      <xdr:col>13</xdr:col>
      <xdr:colOff>323849</xdr:colOff>
      <xdr:row>3</xdr:row>
      <xdr:rowOff>19050</xdr:rowOff>
    </xdr:to>
    <xdr:sp macro="" textlink="">
      <xdr:nvSpPr>
        <xdr:cNvPr id="34" name="TextBox 33">
          <a:extLst>
            <a:ext uri="{FF2B5EF4-FFF2-40B4-BE49-F238E27FC236}">
              <a16:creationId xmlns:a16="http://schemas.microsoft.com/office/drawing/2014/main" id="{7DC80DF3-2102-4B06-92CA-93331024D523}"/>
            </a:ext>
          </a:extLst>
        </xdr:cNvPr>
        <xdr:cNvSpPr txBox="1"/>
      </xdr:nvSpPr>
      <xdr:spPr>
        <a:xfrm>
          <a:off x="781050" y="152400"/>
          <a:ext cx="746759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Segoe UI" panose="020B0502040204020203" pitchFamily="34" charset="0"/>
              <a:cs typeface="Segoe UI" panose="020B0502040204020203" pitchFamily="34" charset="0"/>
            </a:rPr>
            <a:t>HR ANALYSIS DASHBOARD -</a:t>
          </a:r>
          <a:r>
            <a:rPr lang="en-US" sz="2000" b="1" baseline="0">
              <a:solidFill>
                <a:schemeClr val="bg1"/>
              </a:solidFill>
              <a:latin typeface="Segoe UI" panose="020B0502040204020203" pitchFamily="34" charset="0"/>
              <a:cs typeface="Segoe UI" panose="020B0502040204020203" pitchFamily="34" charset="0"/>
            </a:rPr>
            <a:t> </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0</xdr:colOff>
      <xdr:row>0</xdr:row>
      <xdr:rowOff>0</xdr:rowOff>
    </xdr:from>
    <xdr:to>
      <xdr:col>15</xdr:col>
      <xdr:colOff>95250</xdr:colOff>
      <xdr:row>29</xdr:row>
      <xdr:rowOff>95251</xdr:rowOff>
    </xdr:to>
    <xdr:sp macro="" textlink="">
      <xdr:nvSpPr>
        <xdr:cNvPr id="14" name="Rectangle: Rounded Corners 13">
          <a:extLst>
            <a:ext uri="{FF2B5EF4-FFF2-40B4-BE49-F238E27FC236}">
              <a16:creationId xmlns:a16="http://schemas.microsoft.com/office/drawing/2014/main" id="{1BF2F2DF-0444-4A1C-9B0E-FA6069E5405E}"/>
            </a:ext>
          </a:extLst>
        </xdr:cNvPr>
        <xdr:cNvSpPr/>
      </xdr:nvSpPr>
      <xdr:spPr>
        <a:xfrm>
          <a:off x="0" y="0"/>
          <a:ext cx="9239250" cy="5619751"/>
        </a:xfrm>
        <a:prstGeom prst="roundRect">
          <a:avLst>
            <a:gd name="adj" fmla="val 1631"/>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66675</xdr:colOff>
      <xdr:row>0</xdr:row>
      <xdr:rowOff>57150</xdr:rowOff>
    </xdr:from>
    <xdr:to>
      <xdr:col>15</xdr:col>
      <xdr:colOff>19050</xdr:colOff>
      <xdr:row>3</xdr:row>
      <xdr:rowOff>53927</xdr:rowOff>
    </xdr:to>
    <xdr:sp macro="" textlink="">
      <xdr:nvSpPr>
        <xdr:cNvPr id="15" name="Rectangle: Rounded Corners 14">
          <a:extLst>
            <a:ext uri="{FF2B5EF4-FFF2-40B4-BE49-F238E27FC236}">
              <a16:creationId xmlns:a16="http://schemas.microsoft.com/office/drawing/2014/main" id="{E329F9F7-AF5F-4459-AC5D-380EE7F452D0}"/>
            </a:ext>
          </a:extLst>
        </xdr:cNvPr>
        <xdr:cNvSpPr/>
      </xdr:nvSpPr>
      <xdr:spPr>
        <a:xfrm>
          <a:off x="66675" y="57150"/>
          <a:ext cx="9159875" cy="5682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66674</xdr:colOff>
      <xdr:row>3</xdr:row>
      <xdr:rowOff>95250</xdr:rowOff>
    </xdr:from>
    <xdr:to>
      <xdr:col>2</xdr:col>
      <xdr:colOff>19049</xdr:colOff>
      <xdr:row>29</xdr:row>
      <xdr:rowOff>47625</xdr:rowOff>
    </xdr:to>
    <xdr:sp macro="" textlink="">
      <xdr:nvSpPr>
        <xdr:cNvPr id="16" name="Rectangle: Rounded Corners 15">
          <a:extLst>
            <a:ext uri="{FF2B5EF4-FFF2-40B4-BE49-F238E27FC236}">
              <a16:creationId xmlns:a16="http://schemas.microsoft.com/office/drawing/2014/main" id="{726236AC-3B22-4829-BF2E-117393D90D4E}"/>
            </a:ext>
          </a:extLst>
        </xdr:cNvPr>
        <xdr:cNvSpPr/>
      </xdr:nvSpPr>
      <xdr:spPr>
        <a:xfrm>
          <a:off x="66674" y="666750"/>
          <a:ext cx="1171575" cy="4905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104774</xdr:colOff>
      <xdr:row>3</xdr:row>
      <xdr:rowOff>165101</xdr:rowOff>
    </xdr:from>
    <xdr:to>
      <xdr:col>4</xdr:col>
      <xdr:colOff>419099</xdr:colOff>
      <xdr:row>7</xdr:row>
      <xdr:rowOff>107951</xdr:rowOff>
    </xdr:to>
    <xdr:sp macro="" textlink="">
      <xdr:nvSpPr>
        <xdr:cNvPr id="17" name="Rectangle: Rounded Corners 16">
          <a:extLst>
            <a:ext uri="{FF2B5EF4-FFF2-40B4-BE49-F238E27FC236}">
              <a16:creationId xmlns:a16="http://schemas.microsoft.com/office/drawing/2014/main" id="{10F7AAE8-0614-4706-9B5A-0A76865576B2}"/>
            </a:ext>
          </a:extLst>
        </xdr:cNvPr>
        <xdr:cNvSpPr/>
      </xdr:nvSpPr>
      <xdr:spPr>
        <a:xfrm>
          <a:off x="1332441" y="736601"/>
          <a:ext cx="1541991"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Total</a:t>
          </a:r>
          <a:r>
            <a:rPr lang="en-US" sz="900" b="1" baseline="0">
              <a:solidFill>
                <a:schemeClr val="bg1"/>
              </a:solidFill>
              <a:latin typeface="Segoe UI" panose="020B0502040204020203" pitchFamily="34" charset="0"/>
              <a:cs typeface="Segoe UI" panose="020B0502040204020203" pitchFamily="34" charset="0"/>
            </a:rPr>
            <a:t> Headcounts</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247650</xdr:colOff>
      <xdr:row>0</xdr:row>
      <xdr:rowOff>131379</xdr:rowOff>
    </xdr:from>
    <xdr:to>
      <xdr:col>14</xdr:col>
      <xdr:colOff>398969</xdr:colOff>
      <xdr:row>3</xdr:row>
      <xdr:rowOff>10582</xdr:rowOff>
    </xdr:to>
    <xdr:sp macro="" textlink="">
      <xdr:nvSpPr>
        <xdr:cNvPr id="18" name="TextBox 17">
          <a:extLst>
            <a:ext uri="{FF2B5EF4-FFF2-40B4-BE49-F238E27FC236}">
              <a16:creationId xmlns:a16="http://schemas.microsoft.com/office/drawing/2014/main" id="{62DA1B28-6CB9-47A9-827F-411F6A56166C}"/>
            </a:ext>
          </a:extLst>
        </xdr:cNvPr>
        <xdr:cNvSpPr txBox="1"/>
      </xdr:nvSpPr>
      <xdr:spPr>
        <a:xfrm>
          <a:off x="247650" y="131379"/>
          <a:ext cx="8744986" cy="45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Segoe UI" panose="020B0502040204020203" pitchFamily="34" charset="0"/>
              <a:cs typeface="Segoe UI" panose="020B0502040204020203" pitchFamily="34" charset="0"/>
            </a:rPr>
            <a:t>HR ANALYTICS DASHBOARD </a:t>
          </a:r>
        </a:p>
        <a:p>
          <a:pPr algn="ct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152401</xdr:colOff>
      <xdr:row>11</xdr:row>
      <xdr:rowOff>47626</xdr:rowOff>
    </xdr:from>
    <xdr:to>
      <xdr:col>1</xdr:col>
      <xdr:colOff>552451</xdr:colOff>
      <xdr:row>13</xdr:row>
      <xdr:rowOff>133351</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78E55BB6-3914-4F75-AA5B-5C1E1FF520DD}"/>
            </a:ext>
          </a:extLst>
        </xdr:cNvPr>
        <xdr:cNvSpPr/>
      </xdr:nvSpPr>
      <xdr:spPr>
        <a:xfrm>
          <a:off x="152401" y="2143126"/>
          <a:ext cx="1009650" cy="466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latin typeface="Segoe UI" panose="020B0502040204020203" pitchFamily="34" charset="0"/>
              <a:cs typeface="Segoe UI" panose="020B0502040204020203" pitchFamily="34" charset="0"/>
            </a:rPr>
            <a:t>Dataset</a:t>
          </a:r>
        </a:p>
      </xdr:txBody>
    </xdr:sp>
    <xdr:clientData/>
  </xdr:twoCellAnchor>
  <xdr:twoCellAnchor>
    <xdr:from>
      <xdr:col>0</xdr:col>
      <xdr:colOff>133351</xdr:colOff>
      <xdr:row>8</xdr:row>
      <xdr:rowOff>9526</xdr:rowOff>
    </xdr:from>
    <xdr:to>
      <xdr:col>1</xdr:col>
      <xdr:colOff>533401</xdr:colOff>
      <xdr:row>10</xdr:row>
      <xdr:rowOff>142876</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D8623DB8-89D1-4A29-BF70-F1692ADA6703}"/>
            </a:ext>
          </a:extLst>
        </xdr:cNvPr>
        <xdr:cNvSpPr/>
      </xdr:nvSpPr>
      <xdr:spPr>
        <a:xfrm>
          <a:off x="133351" y="1533526"/>
          <a:ext cx="1009650"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latin typeface="Segoe UI" panose="020B0502040204020203" pitchFamily="34" charset="0"/>
              <a:cs typeface="Segoe UI" panose="020B0502040204020203" pitchFamily="34" charset="0"/>
            </a:rPr>
            <a:t>Performance</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133351</xdr:colOff>
      <xdr:row>4</xdr:row>
      <xdr:rowOff>123826</xdr:rowOff>
    </xdr:from>
    <xdr:to>
      <xdr:col>1</xdr:col>
      <xdr:colOff>533401</xdr:colOff>
      <xdr:row>7</xdr:row>
      <xdr:rowOff>57151</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96735859-021A-4C94-824D-3EC4F7EE9312}"/>
            </a:ext>
          </a:extLst>
        </xdr:cNvPr>
        <xdr:cNvSpPr/>
      </xdr:nvSpPr>
      <xdr:spPr>
        <a:xfrm>
          <a:off x="133351" y="885826"/>
          <a:ext cx="100965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latin typeface="Segoe UI" panose="020B0502040204020203" pitchFamily="34" charset="0"/>
              <a:cs typeface="Segoe UI" panose="020B0502040204020203" pitchFamily="34" charset="0"/>
            </a:rPr>
            <a:t>Workforce</a:t>
          </a:r>
        </a:p>
      </xdr:txBody>
    </xdr:sp>
    <xdr:clientData/>
  </xdr:twoCellAnchor>
  <xdr:twoCellAnchor>
    <xdr:from>
      <xdr:col>2</xdr:col>
      <xdr:colOff>180974</xdr:colOff>
      <xdr:row>5</xdr:row>
      <xdr:rowOff>49479</xdr:rowOff>
    </xdr:from>
    <xdr:to>
      <xdr:col>4</xdr:col>
      <xdr:colOff>322650</xdr:colOff>
      <xdr:row>6</xdr:row>
      <xdr:rowOff>142877</xdr:rowOff>
    </xdr:to>
    <xdr:sp macro="" textlink="Analysis!C4">
      <xdr:nvSpPr>
        <xdr:cNvPr id="22" name="TextBox 21">
          <a:extLst>
            <a:ext uri="{FF2B5EF4-FFF2-40B4-BE49-F238E27FC236}">
              <a16:creationId xmlns:a16="http://schemas.microsoft.com/office/drawing/2014/main" id="{AE1BDF02-6E5A-487F-942A-91CAB204F8CC}"/>
            </a:ext>
          </a:extLst>
        </xdr:cNvPr>
        <xdr:cNvSpPr txBox="1"/>
      </xdr:nvSpPr>
      <xdr:spPr>
        <a:xfrm>
          <a:off x="1400174" y="1001979"/>
          <a:ext cx="1360876" cy="283898"/>
        </a:xfrm>
        <a:prstGeom prst="rect">
          <a:avLst/>
        </a:prstGeom>
        <a:noFill/>
        <a:ln w="28575" cmpd="sng">
          <a:solidFill>
            <a:schemeClr val="accent1">
              <a:lumMod val="50000"/>
            </a:schemeClr>
          </a:solid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C8E06B-3ED0-4B90-9280-BC2E60754345}" type="TxLink">
            <a:rPr lang="en-US" sz="1100" b="1" i="0" u="none" strike="noStrike">
              <a:solidFill>
                <a:schemeClr val="bg1"/>
              </a:solidFill>
              <a:latin typeface="Segoe UI" panose="020B0502040204020203" pitchFamily="34" charset="0"/>
              <a:cs typeface="Segoe UI" panose="020B0502040204020203" pitchFamily="34" charset="0"/>
            </a:rPr>
            <a:pPr algn="ctr"/>
            <a:t>150</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504825</xdr:colOff>
      <xdr:row>3</xdr:row>
      <xdr:rowOff>133351</xdr:rowOff>
    </xdr:from>
    <xdr:to>
      <xdr:col>7</xdr:col>
      <xdr:colOff>219075</xdr:colOff>
      <xdr:row>7</xdr:row>
      <xdr:rowOff>85726</xdr:rowOff>
    </xdr:to>
    <xdr:sp macro="" textlink="">
      <xdr:nvSpPr>
        <xdr:cNvPr id="23" name="Rectangle: Rounded Corners 22">
          <a:extLst>
            <a:ext uri="{FF2B5EF4-FFF2-40B4-BE49-F238E27FC236}">
              <a16:creationId xmlns:a16="http://schemas.microsoft.com/office/drawing/2014/main" id="{37EB7679-24E2-4DF8-8DA6-79349A5A5986}"/>
            </a:ext>
          </a:extLst>
        </xdr:cNvPr>
        <xdr:cNvSpPr/>
      </xdr:nvSpPr>
      <xdr:spPr>
        <a:xfrm>
          <a:off x="2960158" y="704851"/>
          <a:ext cx="15557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Avg.</a:t>
          </a:r>
          <a:r>
            <a:rPr lang="en-US" sz="900" b="1" baseline="0">
              <a:solidFill>
                <a:schemeClr val="bg1"/>
              </a:solidFill>
              <a:latin typeface="Segoe UI" panose="020B0502040204020203" pitchFamily="34" charset="0"/>
              <a:cs typeface="Segoe UI" panose="020B0502040204020203" pitchFamily="34" charset="0"/>
            </a:rPr>
            <a:t> Salary</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600074</xdr:colOff>
      <xdr:row>5</xdr:row>
      <xdr:rowOff>55168</xdr:rowOff>
    </xdr:from>
    <xdr:to>
      <xdr:col>7</xdr:col>
      <xdr:colOff>104393</xdr:colOff>
      <xdr:row>6</xdr:row>
      <xdr:rowOff>152402</xdr:rowOff>
    </xdr:to>
    <xdr:sp macro="" textlink="Analysis!E4">
      <xdr:nvSpPr>
        <xdr:cNvPr id="24" name="TextBox 23">
          <a:extLst>
            <a:ext uri="{FF2B5EF4-FFF2-40B4-BE49-F238E27FC236}">
              <a16:creationId xmlns:a16="http://schemas.microsoft.com/office/drawing/2014/main" id="{15018393-1429-473F-8085-B093369B17DF}"/>
            </a:ext>
          </a:extLst>
        </xdr:cNvPr>
        <xdr:cNvSpPr txBox="1"/>
      </xdr:nvSpPr>
      <xdr:spPr>
        <a:xfrm>
          <a:off x="3038474" y="1007668"/>
          <a:ext cx="1333119" cy="28773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C3BAF-AF51-4E70-90B1-920C0381FB0C}" type="TxLink">
            <a:rPr lang="en-US" sz="1100" b="1" i="0" u="none" strike="noStrike">
              <a:solidFill>
                <a:schemeClr val="bg1"/>
              </a:solidFill>
              <a:latin typeface="Calibri"/>
              <a:cs typeface="Calibri"/>
            </a:rPr>
            <a:pPr algn="ctr"/>
            <a:t>$83,341</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314325</xdr:colOff>
      <xdr:row>3</xdr:row>
      <xdr:rowOff>155576</xdr:rowOff>
    </xdr:from>
    <xdr:to>
      <xdr:col>9</xdr:col>
      <xdr:colOff>542925</xdr:colOff>
      <xdr:row>7</xdr:row>
      <xdr:rowOff>117476</xdr:rowOff>
    </xdr:to>
    <xdr:sp macro="" textlink="">
      <xdr:nvSpPr>
        <xdr:cNvPr id="25" name="Rectangle: Rounded Corners 24">
          <a:extLst>
            <a:ext uri="{FF2B5EF4-FFF2-40B4-BE49-F238E27FC236}">
              <a16:creationId xmlns:a16="http://schemas.microsoft.com/office/drawing/2014/main" id="{DD7FED00-6F5D-421E-8AED-9FBBB0A30912}"/>
            </a:ext>
          </a:extLst>
        </xdr:cNvPr>
        <xdr:cNvSpPr/>
      </xdr:nvSpPr>
      <xdr:spPr>
        <a:xfrm>
          <a:off x="4611158" y="727076"/>
          <a:ext cx="1456267"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i="0">
              <a:solidFill>
                <a:schemeClr val="lt1"/>
              </a:solidFill>
              <a:effectLst/>
              <a:latin typeface="+mn-lt"/>
              <a:ea typeface="+mn-ea"/>
              <a:cs typeface="+mn-cs"/>
            </a:rPr>
            <a:t>Overall Attrition Rate</a:t>
          </a:r>
          <a:endParaRPr lang="en-US" sz="7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405443</xdr:colOff>
      <xdr:row>5</xdr:row>
      <xdr:rowOff>51330</xdr:rowOff>
    </xdr:from>
    <xdr:to>
      <xdr:col>9</xdr:col>
      <xdr:colOff>424734</xdr:colOff>
      <xdr:row>6</xdr:row>
      <xdr:rowOff>152401</xdr:rowOff>
    </xdr:to>
    <xdr:sp macro="" textlink="Analysis!L36">
      <xdr:nvSpPr>
        <xdr:cNvPr id="26" name="TextBox 25">
          <a:extLst>
            <a:ext uri="{FF2B5EF4-FFF2-40B4-BE49-F238E27FC236}">
              <a16:creationId xmlns:a16="http://schemas.microsoft.com/office/drawing/2014/main" id="{FD46A432-A267-498F-A0BA-F9179519C88D}"/>
            </a:ext>
          </a:extLst>
        </xdr:cNvPr>
        <xdr:cNvSpPr txBox="1"/>
      </xdr:nvSpPr>
      <xdr:spPr>
        <a:xfrm>
          <a:off x="4672643" y="1003830"/>
          <a:ext cx="1238491" cy="291571"/>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BEC23D-3849-4654-9A39-7CCC7CE43020}" type="TxLink">
            <a:rPr lang="en-US" sz="1100" b="1" i="0" u="none" strike="noStrike">
              <a:solidFill>
                <a:schemeClr val="bg1"/>
              </a:solidFill>
              <a:latin typeface="Segoe UI" panose="020B0502040204020203" pitchFamily="34" charset="0"/>
              <a:cs typeface="Segoe UI" panose="020B0502040204020203" pitchFamily="34" charset="0"/>
            </a:rPr>
            <a:pPr algn="ctr"/>
            <a:t>16%</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10</xdr:col>
      <xdr:colOff>30721</xdr:colOff>
      <xdr:row>5</xdr:row>
      <xdr:rowOff>47627</xdr:rowOff>
    </xdr:from>
    <xdr:to>
      <xdr:col>12</xdr:col>
      <xdr:colOff>197753</xdr:colOff>
      <xdr:row>6</xdr:row>
      <xdr:rowOff>152401</xdr:rowOff>
    </xdr:to>
    <xdr:sp macro="" textlink="Analysis!C4">
      <xdr:nvSpPr>
        <xdr:cNvPr id="27" name="TextBox 26">
          <a:extLst>
            <a:ext uri="{FF2B5EF4-FFF2-40B4-BE49-F238E27FC236}">
              <a16:creationId xmlns:a16="http://schemas.microsoft.com/office/drawing/2014/main" id="{E0CD49A7-883B-4A45-B3C5-B261B950F38B}"/>
            </a:ext>
          </a:extLst>
        </xdr:cNvPr>
        <xdr:cNvSpPr txBox="1"/>
      </xdr:nvSpPr>
      <xdr:spPr>
        <a:xfrm>
          <a:off x="6126721" y="1000127"/>
          <a:ext cx="1386232" cy="29527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C8E06B-3ED0-4B90-9280-BC2E60754345}" type="TxLink">
            <a:rPr lang="en-US" sz="1100" b="0" i="0" u="none" strike="noStrike">
              <a:solidFill>
                <a:schemeClr val="bg1"/>
              </a:solidFill>
              <a:latin typeface="Segoe UI" panose="020B0502040204020203" pitchFamily="34" charset="0"/>
              <a:cs typeface="Segoe UI" panose="020B0502040204020203" pitchFamily="34" charset="0"/>
            </a:rPr>
            <a:pPr algn="ctr"/>
            <a:t>150</a:t>
          </a:fld>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114300</xdr:colOff>
      <xdr:row>7</xdr:row>
      <xdr:rowOff>161926</xdr:rowOff>
    </xdr:from>
    <xdr:to>
      <xdr:col>7</xdr:col>
      <xdr:colOff>381000</xdr:colOff>
      <xdr:row>17</xdr:row>
      <xdr:rowOff>180976</xdr:rowOff>
    </xdr:to>
    <xdr:sp macro="" textlink="">
      <xdr:nvSpPr>
        <xdr:cNvPr id="28" name="Rectangle: Rounded Corners 27">
          <a:extLst>
            <a:ext uri="{FF2B5EF4-FFF2-40B4-BE49-F238E27FC236}">
              <a16:creationId xmlns:a16="http://schemas.microsoft.com/office/drawing/2014/main" id="{33ACA8DB-F241-4D00-8D0A-6AD56080F05D}"/>
            </a:ext>
          </a:extLst>
        </xdr:cNvPr>
        <xdr:cNvSpPr/>
      </xdr:nvSpPr>
      <xdr:spPr>
        <a:xfrm>
          <a:off x="1341967" y="1495426"/>
          <a:ext cx="3335866" cy="192405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433917</xdr:colOff>
      <xdr:row>18</xdr:row>
      <xdr:rowOff>76200</xdr:rowOff>
    </xdr:from>
    <xdr:to>
      <xdr:col>12</xdr:col>
      <xdr:colOff>333374</xdr:colOff>
      <xdr:row>28</xdr:row>
      <xdr:rowOff>152401</xdr:rowOff>
    </xdr:to>
    <xdr:sp macro="" textlink="">
      <xdr:nvSpPr>
        <xdr:cNvPr id="29" name="Rectangle: Rounded Corners 28">
          <a:extLst>
            <a:ext uri="{FF2B5EF4-FFF2-40B4-BE49-F238E27FC236}">
              <a16:creationId xmlns:a16="http://schemas.microsoft.com/office/drawing/2014/main" id="{C5D9EB64-D467-4FA4-A607-FA297683C7BC}"/>
            </a:ext>
          </a:extLst>
        </xdr:cNvPr>
        <xdr:cNvSpPr/>
      </xdr:nvSpPr>
      <xdr:spPr>
        <a:xfrm>
          <a:off x="4730750" y="3505200"/>
          <a:ext cx="2968624" cy="1981201"/>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465667</xdr:colOff>
      <xdr:row>7</xdr:row>
      <xdr:rowOff>171451</xdr:rowOff>
    </xdr:from>
    <xdr:to>
      <xdr:col>12</xdr:col>
      <xdr:colOff>342898</xdr:colOff>
      <xdr:row>18</xdr:row>
      <xdr:rowOff>19051</xdr:rowOff>
    </xdr:to>
    <xdr:sp macro="" textlink="">
      <xdr:nvSpPr>
        <xdr:cNvPr id="45" name="Rectangle: Rounded Corners 44">
          <a:extLst>
            <a:ext uri="{FF2B5EF4-FFF2-40B4-BE49-F238E27FC236}">
              <a16:creationId xmlns:a16="http://schemas.microsoft.com/office/drawing/2014/main" id="{F0C82AD0-A74A-4FC4-9757-2F672082C1D2}"/>
            </a:ext>
          </a:extLst>
        </xdr:cNvPr>
        <xdr:cNvSpPr/>
      </xdr:nvSpPr>
      <xdr:spPr>
        <a:xfrm>
          <a:off x="4762500" y="1504951"/>
          <a:ext cx="2946398" cy="194310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18</xdr:row>
      <xdr:rowOff>57151</xdr:rowOff>
    </xdr:from>
    <xdr:to>
      <xdr:col>7</xdr:col>
      <xdr:colOff>402167</xdr:colOff>
      <xdr:row>28</xdr:row>
      <xdr:rowOff>152401</xdr:rowOff>
    </xdr:to>
    <xdr:sp macro="" textlink="">
      <xdr:nvSpPr>
        <xdr:cNvPr id="46" name="Rectangle: Rounded Corners 45">
          <a:extLst>
            <a:ext uri="{FF2B5EF4-FFF2-40B4-BE49-F238E27FC236}">
              <a16:creationId xmlns:a16="http://schemas.microsoft.com/office/drawing/2014/main" id="{41766A1E-87A1-4177-B1C1-8B83F7D9C014}"/>
            </a:ext>
          </a:extLst>
        </xdr:cNvPr>
        <xdr:cNvSpPr/>
      </xdr:nvSpPr>
      <xdr:spPr>
        <a:xfrm>
          <a:off x="1322917" y="3486151"/>
          <a:ext cx="3376083" cy="2000250"/>
        </a:xfrm>
        <a:prstGeom prst="roundRect">
          <a:avLst>
            <a:gd name="adj" fmla="val 2910"/>
          </a:avLst>
        </a:prstGeom>
        <a:solidFill>
          <a:schemeClr val="accent1">
            <a:lumMod val="75000"/>
            <a:alpha val="6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28574</xdr:colOff>
      <xdr:row>3</xdr:row>
      <xdr:rowOff>160503</xdr:rowOff>
    </xdr:from>
    <xdr:to>
      <xdr:col>12</xdr:col>
      <xdr:colOff>323849</xdr:colOff>
      <xdr:row>7</xdr:row>
      <xdr:rowOff>131599</xdr:rowOff>
    </xdr:to>
    <xdr:sp macro="" textlink="">
      <xdr:nvSpPr>
        <xdr:cNvPr id="49" name="Rectangle: Rounded Corners 48">
          <a:extLst>
            <a:ext uri="{FF2B5EF4-FFF2-40B4-BE49-F238E27FC236}">
              <a16:creationId xmlns:a16="http://schemas.microsoft.com/office/drawing/2014/main" id="{B53D3FB0-EC2C-44B9-828F-C2B166DC5BAF}"/>
            </a:ext>
          </a:extLst>
        </xdr:cNvPr>
        <xdr:cNvSpPr/>
      </xdr:nvSpPr>
      <xdr:spPr>
        <a:xfrm>
          <a:off x="6166907" y="732003"/>
          <a:ext cx="1522942" cy="7330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latin typeface="Segoe UI" panose="020B0502040204020203" pitchFamily="34" charset="0"/>
              <a:cs typeface="Segoe UI" panose="020B0502040204020203" pitchFamily="34" charset="0"/>
            </a:rPr>
            <a:t>Total</a:t>
          </a:r>
          <a:r>
            <a:rPr lang="en-US" sz="900" b="1" baseline="0">
              <a:solidFill>
                <a:schemeClr val="bg1"/>
              </a:solidFill>
              <a:latin typeface="Segoe UI" panose="020B0502040204020203" pitchFamily="34" charset="0"/>
              <a:cs typeface="Segoe UI" panose="020B0502040204020203" pitchFamily="34" charset="0"/>
            </a:rPr>
            <a:t> Bonus Payout</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10</xdr:col>
      <xdr:colOff>130133</xdr:colOff>
      <xdr:row>5</xdr:row>
      <xdr:rowOff>47627</xdr:rowOff>
    </xdr:from>
    <xdr:to>
      <xdr:col>12</xdr:col>
      <xdr:colOff>254902</xdr:colOff>
      <xdr:row>6</xdr:row>
      <xdr:rowOff>152401</xdr:rowOff>
    </xdr:to>
    <xdr:sp macro="" textlink="Analysis!G68">
      <xdr:nvSpPr>
        <xdr:cNvPr id="50" name="TextBox 49">
          <a:extLst>
            <a:ext uri="{FF2B5EF4-FFF2-40B4-BE49-F238E27FC236}">
              <a16:creationId xmlns:a16="http://schemas.microsoft.com/office/drawing/2014/main" id="{A74E1797-39ED-4E66-A7A5-C22A3210671B}"/>
            </a:ext>
          </a:extLst>
        </xdr:cNvPr>
        <xdr:cNvSpPr txBox="1"/>
      </xdr:nvSpPr>
      <xdr:spPr>
        <a:xfrm>
          <a:off x="6226133" y="1000127"/>
          <a:ext cx="1343969" cy="295274"/>
        </a:xfrm>
        <a:prstGeom prst="rect">
          <a:avLst/>
        </a:prstGeom>
        <a:no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4B1C56-F74A-43B4-899A-CC513B086E9E}" type="TxLink">
            <a:rPr lang="en-US" sz="1100" b="1" i="0" u="none" strike="noStrike">
              <a:solidFill>
                <a:schemeClr val="bg1"/>
              </a:solidFill>
              <a:latin typeface="Calibri"/>
              <a:cs typeface="Calibri"/>
            </a:rPr>
            <a:pPr algn="ctr"/>
            <a:t>$485,381.72</a:t>
          </a:fld>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123826</xdr:colOff>
      <xdr:row>18</xdr:row>
      <xdr:rowOff>85726</xdr:rowOff>
    </xdr:from>
    <xdr:to>
      <xdr:col>6</xdr:col>
      <xdr:colOff>285750</xdr:colOff>
      <xdr:row>28</xdr:row>
      <xdr:rowOff>142876</xdr:rowOff>
    </xdr:to>
    <xdr:graphicFrame macro="">
      <xdr:nvGraphicFramePr>
        <xdr:cNvPr id="51" name="Chart 50">
          <a:extLst>
            <a:ext uri="{FF2B5EF4-FFF2-40B4-BE49-F238E27FC236}">
              <a16:creationId xmlns:a16="http://schemas.microsoft.com/office/drawing/2014/main" id="{CA7D12FF-E896-4C76-979E-6183A6086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390525</xdr:colOff>
      <xdr:row>3</xdr:row>
      <xdr:rowOff>95250</xdr:rowOff>
    </xdr:from>
    <xdr:to>
      <xdr:col>15</xdr:col>
      <xdr:colOff>66674</xdr:colOff>
      <xdr:row>9</xdr:row>
      <xdr:rowOff>169333</xdr:rowOff>
    </xdr:to>
    <mc:AlternateContent xmlns:mc="http://schemas.openxmlformats.org/markup-compatibility/2006" xmlns:a14="http://schemas.microsoft.com/office/drawing/2010/main">
      <mc:Choice Requires="a14">
        <xdr:graphicFrame macro="">
          <xdr:nvGraphicFramePr>
            <xdr:cNvPr id="53" name="Department 1">
              <a:extLst>
                <a:ext uri="{FF2B5EF4-FFF2-40B4-BE49-F238E27FC236}">
                  <a16:creationId xmlns:a16="http://schemas.microsoft.com/office/drawing/2014/main" id="{339034EE-F867-46FD-8207-A2A80DC0D37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756525" y="657224"/>
              <a:ext cx="1517649" cy="1226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390525</xdr:colOff>
      <xdr:row>18</xdr:row>
      <xdr:rowOff>148167</xdr:rowOff>
    </xdr:from>
    <xdr:to>
      <xdr:col>15</xdr:col>
      <xdr:colOff>66675</xdr:colOff>
      <xdr:row>29</xdr:row>
      <xdr:rowOff>66675</xdr:rowOff>
    </xdr:to>
    <mc:AlternateContent xmlns:mc="http://schemas.openxmlformats.org/markup-compatibility/2006" xmlns:a14="http://schemas.microsoft.com/office/drawing/2010/main">
      <mc:Choice Requires="a14">
        <xdr:graphicFrame macro="">
          <xdr:nvGraphicFramePr>
            <xdr:cNvPr id="55" name="Employment Year 1">
              <a:extLst>
                <a:ext uri="{FF2B5EF4-FFF2-40B4-BE49-F238E27FC236}">
                  <a16:creationId xmlns:a16="http://schemas.microsoft.com/office/drawing/2014/main" id="{2D066535-A0D4-4453-91B8-7C67FE7C3396}"/>
                </a:ext>
              </a:extLst>
            </xdr:cNvPr>
            <xdr:cNvGraphicFramePr/>
          </xdr:nvGraphicFramePr>
          <xdr:xfrm>
            <a:off x="0" y="0"/>
            <a:ext cx="0" cy="0"/>
          </xdr:xfrm>
          <a:graphic>
            <a:graphicData uri="http://schemas.microsoft.com/office/drawing/2010/slicer">
              <sle:slicer xmlns:sle="http://schemas.microsoft.com/office/drawing/2010/slicer" name="Employment Year 1"/>
            </a:graphicData>
          </a:graphic>
        </xdr:graphicFrame>
      </mc:Choice>
      <mc:Fallback xmlns="">
        <xdr:sp macro="" textlink="">
          <xdr:nvSpPr>
            <xdr:cNvPr id="0" name=""/>
            <xdr:cNvSpPr>
              <a:spLocks noTextEdit="1"/>
            </xdr:cNvSpPr>
          </xdr:nvSpPr>
          <xdr:spPr>
            <a:xfrm>
              <a:off x="7747000" y="3577167"/>
              <a:ext cx="1527175" cy="2014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391583</xdr:colOff>
      <xdr:row>9</xdr:row>
      <xdr:rowOff>127001</xdr:rowOff>
    </xdr:from>
    <xdr:to>
      <xdr:col>15</xdr:col>
      <xdr:colOff>66675</xdr:colOff>
      <xdr:row>18</xdr:row>
      <xdr:rowOff>142875</xdr:rowOff>
    </xdr:to>
    <mc:AlternateContent xmlns:mc="http://schemas.openxmlformats.org/markup-compatibility/2006" xmlns:a14="http://schemas.microsoft.com/office/drawing/2010/main">
      <mc:Choice Requires="a14">
        <xdr:graphicFrame macro="">
          <xdr:nvGraphicFramePr>
            <xdr:cNvPr id="56" name="Performance_Band 1">
              <a:extLst>
                <a:ext uri="{FF2B5EF4-FFF2-40B4-BE49-F238E27FC236}">
                  <a16:creationId xmlns:a16="http://schemas.microsoft.com/office/drawing/2014/main" id="{CC89CFE8-07DF-4B6D-93F1-7B09DBED8F2D}"/>
                </a:ext>
              </a:extLst>
            </xdr:cNvPr>
            <xdr:cNvGraphicFramePr/>
          </xdr:nvGraphicFramePr>
          <xdr:xfrm>
            <a:off x="0" y="0"/>
            <a:ext cx="0" cy="0"/>
          </xdr:xfrm>
          <a:graphic>
            <a:graphicData uri="http://schemas.microsoft.com/office/drawing/2010/slicer">
              <sle:slicer xmlns:sle="http://schemas.microsoft.com/office/drawing/2010/slicer" name="Performance_Band 1"/>
            </a:graphicData>
          </a:graphic>
        </xdr:graphicFrame>
      </mc:Choice>
      <mc:Fallback xmlns="">
        <xdr:sp macro="" textlink="">
          <xdr:nvSpPr>
            <xdr:cNvPr id="0" name=""/>
            <xdr:cNvSpPr>
              <a:spLocks noTextEdit="1"/>
            </xdr:cNvSpPr>
          </xdr:nvSpPr>
          <xdr:spPr>
            <a:xfrm>
              <a:off x="7757583" y="1841501"/>
              <a:ext cx="1516592" cy="1767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119062</xdr:colOff>
      <xdr:row>7</xdr:row>
      <xdr:rowOff>161926</xdr:rowOff>
    </xdr:from>
    <xdr:to>
      <xdr:col>7</xdr:col>
      <xdr:colOff>381000</xdr:colOff>
      <xdr:row>17</xdr:row>
      <xdr:rowOff>166687</xdr:rowOff>
    </xdr:to>
    <xdr:graphicFrame macro="">
      <xdr:nvGraphicFramePr>
        <xdr:cNvPr id="57" name="Chart 56">
          <a:extLst>
            <a:ext uri="{FF2B5EF4-FFF2-40B4-BE49-F238E27FC236}">
              <a16:creationId xmlns:a16="http://schemas.microsoft.com/office/drawing/2014/main" id="{B9EBAD12-BF45-4448-A816-6C83F1FEE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507999</xdr:colOff>
      <xdr:row>7</xdr:row>
      <xdr:rowOff>171451</xdr:rowOff>
    </xdr:from>
    <xdr:to>
      <xdr:col>12</xdr:col>
      <xdr:colOff>317499</xdr:colOff>
      <xdr:row>18</xdr:row>
      <xdr:rowOff>0</xdr:rowOff>
    </xdr:to>
    <xdr:graphicFrame macro="">
      <xdr:nvGraphicFramePr>
        <xdr:cNvPr id="59" name="Chart 58">
          <a:extLst>
            <a:ext uri="{FF2B5EF4-FFF2-40B4-BE49-F238E27FC236}">
              <a16:creationId xmlns:a16="http://schemas.microsoft.com/office/drawing/2014/main" id="{E93682ED-09D4-42C1-A5D9-E6F7BC134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95252</xdr:colOff>
      <xdr:row>18</xdr:row>
      <xdr:rowOff>57151</xdr:rowOff>
    </xdr:from>
    <xdr:to>
      <xdr:col>7</xdr:col>
      <xdr:colOff>370418</xdr:colOff>
      <xdr:row>28</xdr:row>
      <xdr:rowOff>95251</xdr:rowOff>
    </xdr:to>
    <xdr:graphicFrame macro="">
      <xdr:nvGraphicFramePr>
        <xdr:cNvPr id="62" name="Chart 61">
          <a:extLst>
            <a:ext uri="{FF2B5EF4-FFF2-40B4-BE49-F238E27FC236}">
              <a16:creationId xmlns:a16="http://schemas.microsoft.com/office/drawing/2014/main" id="{C4E39E4E-3D12-4E43-8F09-485FD274F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465667</xdr:colOff>
      <xdr:row>18</xdr:row>
      <xdr:rowOff>105832</xdr:rowOff>
    </xdr:from>
    <xdr:to>
      <xdr:col>12</xdr:col>
      <xdr:colOff>328083</xdr:colOff>
      <xdr:row>28</xdr:row>
      <xdr:rowOff>127000</xdr:rowOff>
    </xdr:to>
    <xdr:graphicFrame macro="">
      <xdr:nvGraphicFramePr>
        <xdr:cNvPr id="63" name="Chart 62">
          <a:extLst>
            <a:ext uri="{FF2B5EF4-FFF2-40B4-BE49-F238E27FC236}">
              <a16:creationId xmlns:a16="http://schemas.microsoft.com/office/drawing/2014/main" id="{A5EF6E46-E86A-4689-B7A8-4A49928DB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31751</xdr:colOff>
      <xdr:row>2</xdr:row>
      <xdr:rowOff>105833</xdr:rowOff>
    </xdr:from>
    <xdr:to>
      <xdr:col>3</xdr:col>
      <xdr:colOff>564091</xdr:colOff>
      <xdr:row>4</xdr:row>
      <xdr:rowOff>37450</xdr:rowOff>
    </xdr:to>
    <xdr:pic>
      <xdr:nvPicPr>
        <xdr:cNvPr id="2" name="Picture 1">
          <a:extLst>
            <a:ext uri="{FF2B5EF4-FFF2-40B4-BE49-F238E27FC236}">
              <a16:creationId xmlns:a16="http://schemas.microsoft.com/office/drawing/2014/main" id="{989FFB2E-C53B-4D0D-9D9A-8EBB0F2FCBF3}"/>
            </a:ext>
          </a:extLst>
        </xdr:cNvPr>
        <xdr:cNvPicPr>
          <a:picLocks noChangeAspect="1"/>
        </xdr:cNvPicPr>
      </xdr:nvPicPr>
      <xdr:blipFill rotWithShape="1">
        <a:blip xmlns:r="http://schemas.openxmlformats.org/officeDocument/2006/relationships" r:embed="rId9" cstate="print">
          <a:biLevel thresh="50000"/>
          <a:extLst>
            <a:ext uri="{BEBA8EAE-BF5A-486C-A8C5-ECC9F3942E4B}">
              <a14:imgProps xmlns:a14="http://schemas.microsoft.com/office/drawing/2010/main">
                <a14:imgLayer r:embed="rId10">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rcRect l="5216" t="1732" r="4384" b="13196"/>
        <a:stretch/>
      </xdr:blipFill>
      <xdr:spPr>
        <a:xfrm>
          <a:off x="1873251" y="486833"/>
          <a:ext cx="532340" cy="312617"/>
        </a:xfrm>
        <a:prstGeom prst="rect">
          <a:avLst/>
        </a:prstGeom>
      </xdr:spPr>
    </xdr:pic>
    <xdr:clientData/>
  </xdr:twoCellAnchor>
  <xdr:twoCellAnchor editAs="oneCell">
    <xdr:from>
      <xdr:col>8</xdr:col>
      <xdr:colOff>285750</xdr:colOff>
      <xdr:row>2</xdr:row>
      <xdr:rowOff>158750</xdr:rowOff>
    </xdr:from>
    <xdr:to>
      <xdr:col>9</xdr:col>
      <xdr:colOff>127000</xdr:colOff>
      <xdr:row>4</xdr:row>
      <xdr:rowOff>74083</xdr:rowOff>
    </xdr:to>
    <xdr:pic>
      <xdr:nvPicPr>
        <xdr:cNvPr id="3" name="Picture 2">
          <a:extLst>
            <a:ext uri="{FF2B5EF4-FFF2-40B4-BE49-F238E27FC236}">
              <a16:creationId xmlns:a16="http://schemas.microsoft.com/office/drawing/2014/main" id="{96444661-FC51-4413-B9DF-4200734D99FB}"/>
            </a:ext>
          </a:extLst>
        </xdr:cNvPr>
        <xdr:cNvPicPr>
          <a:picLocks noChangeAspect="1"/>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196417" y="539750"/>
          <a:ext cx="455083" cy="296333"/>
        </a:xfrm>
        <a:prstGeom prst="rect">
          <a:avLst/>
        </a:prstGeom>
        <a:ln>
          <a:noFill/>
        </a:ln>
        <a:effectLst>
          <a:outerShdw blurRad="107950" dist="12700" dir="5400000" algn="ctr">
            <a:srgbClr val="000000"/>
          </a:outerShdw>
        </a:effectLst>
      </xdr:spPr>
    </xdr:pic>
    <xdr:clientData/>
  </xdr:twoCellAnchor>
  <xdr:twoCellAnchor editAs="oneCell">
    <xdr:from>
      <xdr:col>5</xdr:col>
      <xdr:colOff>469899</xdr:colOff>
      <xdr:row>2</xdr:row>
      <xdr:rowOff>131380</xdr:rowOff>
    </xdr:from>
    <xdr:to>
      <xdr:col>6</xdr:col>
      <xdr:colOff>398741</xdr:colOff>
      <xdr:row>3</xdr:row>
      <xdr:rowOff>179918</xdr:rowOff>
    </xdr:to>
    <xdr:pic>
      <xdr:nvPicPr>
        <xdr:cNvPr id="4" name="Picture 3">
          <a:extLst>
            <a:ext uri="{FF2B5EF4-FFF2-40B4-BE49-F238E27FC236}">
              <a16:creationId xmlns:a16="http://schemas.microsoft.com/office/drawing/2014/main" id="{885C548A-F4B7-4F70-B950-DFAC59B38F06}"/>
            </a:ext>
          </a:extLst>
        </xdr:cNvPr>
        <xdr:cNvPicPr>
          <a:picLocks noChangeAspect="1"/>
        </xdr:cNvPicPr>
      </xdr:nvPicPr>
      <xdr:blipFill rotWithShape="1">
        <a:blip xmlns:r="http://schemas.openxmlformats.org/officeDocument/2006/relationships" r:embed="rId12" cstate="print">
          <a:extLst>
            <a:ext uri="{BEBA8EAE-BF5A-486C-A8C5-ECC9F3942E4B}">
              <a14:imgProps xmlns:a14="http://schemas.microsoft.com/office/drawing/2010/main">
                <a14:imgLayer r:embed="rId13">
                  <a14:imgEffect>
                    <a14:artisticTexturizer/>
                  </a14:imgEffect>
                  <a14:imgEffect>
                    <a14:colorTemperature colorTemp="4700"/>
                  </a14:imgEffect>
                </a14:imgLayer>
              </a14:imgProps>
            </a:ext>
            <a:ext uri="{28A0092B-C50C-407E-A947-70E740481C1C}">
              <a14:useLocalDpi xmlns:a14="http://schemas.microsoft.com/office/drawing/2010/main" val="0"/>
            </a:ext>
          </a:extLst>
        </a:blip>
        <a:srcRect l="15377" t="17824" r="17162" b="15106"/>
        <a:stretch/>
      </xdr:blipFill>
      <xdr:spPr>
        <a:xfrm>
          <a:off x="3539066" y="512380"/>
          <a:ext cx="542675" cy="239038"/>
        </a:xfrm>
        <a:prstGeom prst="rect">
          <a:avLst/>
        </a:prstGeom>
        <a:ln>
          <a:noFill/>
        </a:ln>
        <a:effectLst>
          <a:outerShdw blurRad="107950" dist="12700" dir="5400000" algn="ctr">
            <a:srgbClr val="000000"/>
          </a:outerShdw>
        </a:effectLst>
      </xdr:spPr>
    </xdr:pic>
    <xdr:clientData/>
  </xdr:twoCellAnchor>
  <xdr:twoCellAnchor editAs="oneCell">
    <xdr:from>
      <xdr:col>10</xdr:col>
      <xdr:colOff>563029</xdr:colOff>
      <xdr:row>2</xdr:row>
      <xdr:rowOff>140904</xdr:rowOff>
    </xdr:from>
    <xdr:to>
      <xdr:col>11</xdr:col>
      <xdr:colOff>402165</xdr:colOff>
      <xdr:row>4</xdr:row>
      <xdr:rowOff>63500</xdr:rowOff>
    </xdr:to>
    <xdr:pic>
      <xdr:nvPicPr>
        <xdr:cNvPr id="5" name="Picture 4">
          <a:extLst>
            <a:ext uri="{FF2B5EF4-FFF2-40B4-BE49-F238E27FC236}">
              <a16:creationId xmlns:a16="http://schemas.microsoft.com/office/drawing/2014/main" id="{E97B7CD9-5893-4EEF-9ECF-6505D1D205F2}"/>
            </a:ext>
          </a:extLst>
        </xdr:cNvPr>
        <xdr:cNvPicPr>
          <a:picLocks noChangeAspect="1"/>
        </xdr:cNvPicPr>
      </xdr:nvPicPr>
      <xdr:blipFill>
        <a:blip xmlns:r="http://schemas.openxmlformats.org/officeDocument/2006/relationships" r:embed="rId1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6701362" y="521904"/>
          <a:ext cx="452970" cy="303596"/>
        </a:xfrm>
        <a:prstGeom prst="rect">
          <a:avLst/>
        </a:prstGeom>
      </xdr:spPr>
    </xdr:pic>
    <xdr:clientData/>
  </xdr:twoCellAnchor>
  <xdr:twoCellAnchor editAs="oneCell">
    <xdr:from>
      <xdr:col>0</xdr:col>
      <xdr:colOff>110066</xdr:colOff>
      <xdr:row>0</xdr:row>
      <xdr:rowOff>78464</xdr:rowOff>
    </xdr:from>
    <xdr:to>
      <xdr:col>2</xdr:col>
      <xdr:colOff>282575</xdr:colOff>
      <xdr:row>3</xdr:row>
      <xdr:rowOff>49889</xdr:rowOff>
    </xdr:to>
    <xdr:pic>
      <xdr:nvPicPr>
        <xdr:cNvPr id="6" name="Picture 5">
          <a:extLst>
            <a:ext uri="{FF2B5EF4-FFF2-40B4-BE49-F238E27FC236}">
              <a16:creationId xmlns:a16="http://schemas.microsoft.com/office/drawing/2014/main" id="{C8097866-39EE-4840-B102-3496FEE13535}"/>
            </a:ext>
          </a:extLst>
        </xdr:cNvPr>
        <xdr:cNvPicPr>
          <a:picLocks noChangeAspect="1"/>
        </xdr:cNvPicPr>
      </xdr:nvPicPr>
      <xdr:blipFill rotWithShape="1">
        <a:blip xmlns:r="http://schemas.openxmlformats.org/officeDocument/2006/relationships" r:embed="rId15" cstate="print">
          <a:duotone>
            <a:schemeClr val="accent1">
              <a:shade val="45000"/>
              <a:satMod val="135000"/>
            </a:schemeClr>
            <a:prstClr val="white"/>
          </a:duotone>
          <a:extLst>
            <a:ext uri="{BEBA8EAE-BF5A-486C-A8C5-ECC9F3942E4B}">
              <a14:imgProps xmlns:a14="http://schemas.microsoft.com/office/drawing/2010/main">
                <a14:imgLayer r:embed="rId16">
                  <a14:imgEffect>
                    <a14:colorTemperature colorTemp="5300"/>
                  </a14:imgEffect>
                  <a14:imgEffect>
                    <a14:saturation sat="66000"/>
                  </a14:imgEffect>
                </a14:imgLayer>
              </a14:imgProps>
            </a:ext>
            <a:ext uri="{28A0092B-C50C-407E-A947-70E740481C1C}">
              <a14:useLocalDpi xmlns:a14="http://schemas.microsoft.com/office/drawing/2010/main" val="0"/>
            </a:ext>
          </a:extLst>
        </a:blip>
        <a:srcRect l="14468" t="11574" r="13772" b="13194"/>
        <a:stretch/>
      </xdr:blipFill>
      <xdr:spPr>
        <a:xfrm>
          <a:off x="110066" y="78464"/>
          <a:ext cx="1400176" cy="542925"/>
        </a:xfrm>
        <a:prstGeom prst="rect">
          <a:avLst/>
        </a:prstGeom>
      </xdr:spPr>
    </xdr:pic>
    <xdr:clientData/>
  </xdr:twoCellAnchor>
  <xdr:twoCellAnchor editAs="oneCell">
    <xdr:from>
      <xdr:col>0</xdr:col>
      <xdr:colOff>338667</xdr:colOff>
      <xdr:row>25</xdr:row>
      <xdr:rowOff>74083</xdr:rowOff>
    </xdr:from>
    <xdr:to>
      <xdr:col>1</xdr:col>
      <xdr:colOff>334358</xdr:colOff>
      <xdr:row>28</xdr:row>
      <xdr:rowOff>112107</xdr:rowOff>
    </xdr:to>
    <xdr:pic>
      <xdr:nvPicPr>
        <xdr:cNvPr id="7" name="Picture 6">
          <a:hlinkClick xmlns:r="http://schemas.openxmlformats.org/officeDocument/2006/relationships" r:id="rId17"/>
          <a:extLst>
            <a:ext uri="{FF2B5EF4-FFF2-40B4-BE49-F238E27FC236}">
              <a16:creationId xmlns:a16="http://schemas.microsoft.com/office/drawing/2014/main" id="{CD1DBBBE-3BB9-449A-BE43-3411EC1CC30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38667" y="4836583"/>
          <a:ext cx="609524" cy="6095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53703704" backgroundQuery="1" createdVersion="8" refreshedVersion="8" minRefreshableVersion="3" recordCount="0" supportSubquery="1" supportAdvancedDrill="1" xr:uid="{91108B22-93DD-4DBB-9DEB-BB022E94C41B}">
  <cacheSource type="external" connectionId="1"/>
  <cacheFields count="4">
    <cacheField name="[Table1].[Department].[Department]" caption="Department" numFmtId="0" hierarchy="3" level="1">
      <sharedItems count="1">
        <s v="Sales"/>
      </sharedItems>
    </cacheField>
    <cacheField name="[Table1].[Employment Status].[Employment Status]" caption="Employment Status" numFmtId="0" hierarchy="12" level="1">
      <sharedItems count="3">
        <s v="Active"/>
        <s v="Left"/>
        <s v="Resigned"/>
      </sharedItems>
    </cacheField>
    <cacheField name="[Measures].[Count of Emp ID]" caption="Count of Emp ID" numFmtId="0" hierarchy="20" level="32767"/>
    <cacheField name="[Table1].[Performance_Band].[Performance_Band]" caption="Performance_Band" numFmtId="0" hierarchy="9"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3"/>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1"/>
      </fieldsUsage>
    </cacheHierarchy>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5439815" backgroundQuery="1" createdVersion="8" refreshedVersion="8" minRefreshableVersion="3" recordCount="0" supportSubquery="1" supportAdvancedDrill="1" xr:uid="{92C51921-5C22-48B4-BEDF-AF01D547C6D1}">
  <cacheSource type="external" connectionId="1"/>
  <cacheFields count="4">
    <cacheField name="[Table1].[Department].[Department]" caption="Department" numFmtId="0" hierarchy="3" level="1">
      <sharedItems count="1">
        <s v="Sales"/>
      </sharedItems>
    </cacheField>
    <cacheField name="[Table1].[Employment Status].[Employment Status]" caption="Employment Status" numFmtId="0" hierarchy="12" level="1">
      <sharedItems count="1">
        <s v="Active"/>
      </sharedItems>
    </cacheField>
    <cacheField name="[Measures].[Count of Emp ID]" caption="Count of Emp ID" numFmtId="0" hierarchy="20" level="32767"/>
    <cacheField name="[Table1].[Performance_Band].[Performance_Band]" caption="Performance_Band" numFmtId="0" hierarchy="9"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3"/>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1"/>
      </fieldsUsage>
    </cacheHierarchy>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2638892" backgroundQuery="1" createdVersion="8" refreshedVersion="8" minRefreshableVersion="3" recordCount="0" supportSubquery="1" supportAdvancedDrill="1" xr:uid="{A1B52007-D5E6-4B63-9885-3ED388E884B2}">
  <cacheSource type="external" connectionId="1"/>
  <cacheFields count="2">
    <cacheField name="[Table1].[Department].[Department]" caption="Department" numFmtId="0" hierarchy="3" level="1">
      <sharedItems count="6">
        <s v="Finance"/>
        <s v="Human Resources"/>
        <s v="Information Technology"/>
        <s v="Marketing"/>
        <s v="Operations"/>
        <s v="Sales"/>
      </sharedItems>
    </cacheField>
    <cacheField name="[Measures].[Count of Emp ID]" caption="Count of Emp ID" numFmtId="0" hierarchy="20" level="32767"/>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3333331" backgroundQuery="1" createdVersion="8" refreshedVersion="8" minRefreshableVersion="3" recordCount="0" supportSubquery="1" supportAdvancedDrill="1" xr:uid="{E5639B06-7F8F-4427-B3AF-1F07EB3F406D}">
  <cacheSource type="external" connectionId="1"/>
  <cacheFields count="2">
    <cacheField name="[Table1].[Department].[Department]" caption="Department" numFmtId="0" hierarchy="3" level="1">
      <sharedItems count="6">
        <s v="Finance"/>
        <s v="Human Resources"/>
        <s v="Information Technology"/>
        <s v="Marketing"/>
        <s v="Operations"/>
        <s v="Sales"/>
      </sharedItems>
    </cacheField>
    <cacheField name="[Measures].[Average of Salary]" caption="Average of Salary" numFmtId="0" hierarchy="18" level="32767"/>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3912039" backgroundQuery="1" createdVersion="8" refreshedVersion="8" minRefreshableVersion="3" recordCount="0" supportSubquery="1" supportAdvancedDrill="1" xr:uid="{D46E0C91-0188-4A58-8746-28008237BECB}">
  <cacheSource type="external" connectionId="1"/>
  <cacheFields count="3">
    <cacheField name="[Table1].[Performance_Band].[Performance_Band]" caption="Performance_Band" numFmtId="0" hierarchy="9" level="1">
      <sharedItems count="5">
        <s v="Achieving"/>
        <s v="Developing"/>
        <s v="Exceeding"/>
        <s v="Needs Improvement"/>
        <s v="Outstanding"/>
      </sharedItems>
    </cacheField>
    <cacheField name="[Measures].[Sum of Eligible Bonus Amount]" caption="Sum of Eligible Bonus Amount" numFmtId="0" hierarchy="23" level="32767"/>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0"/>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4143517" backgroundQuery="1" createdVersion="8" refreshedVersion="8" minRefreshableVersion="3" recordCount="0" supportSubquery="1" supportAdvancedDrill="1" xr:uid="{E8542FA7-B106-454F-B881-A5E1A6C5972C}">
  <cacheSource type="external" connectionId="1"/>
  <cacheFields count="2">
    <cacheField name="[Measures].[Average of Salary]" caption="Average of Salary" numFmtId="0" hierarchy="18" level="32767"/>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4722224" backgroundQuery="1" createdVersion="8" refreshedVersion="8" minRefreshableVersion="3" recordCount="0" supportSubquery="1" supportAdvancedDrill="1" xr:uid="{801613B8-9561-43FE-B971-F9898E30017E}">
  <cacheSource type="external" connectionId="1"/>
  <cacheFields count="2">
    <cacheField name="[Measures].[Sum of Eligible Bonus Amount]" caption="Sum of Eligible Bonus Amount" numFmtId="0" hierarchy="23" level="32767"/>
    <cacheField name="[Table1].[Department].[Department]" caption="Department" numFmtId="0" hierarchy="3" level="1">
      <sharedItems count="1">
        <s v="Information Technology"/>
      </sharedItems>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5069448" backgroundQuery="1" createdVersion="8" refreshedVersion="8" minRefreshableVersion="3" recordCount="0" supportSubquery="1" supportAdvancedDrill="1" xr:uid="{8BCCD09E-3E85-4C2A-8CC1-2DD38B1DE479}">
  <cacheSource type="external" connectionId="1"/>
  <cacheFields count="2">
    <cacheField name="[Measures].[Average of Perf_Score]" caption="Average of Perf_Score" numFmtId="0" hierarchy="22" level="32767"/>
    <cacheField name="[Table1].[Department].[Department]" caption="Department" numFmtId="0" hierarchy="3" level="1">
      <sharedItems count="2">
        <s v="Human Resources"/>
        <s v="Marketing"/>
      </sharedItems>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5648148" backgroundQuery="1" createdVersion="8" refreshedVersion="8" minRefreshableVersion="3" recordCount="0" supportSubquery="1" supportAdvancedDrill="1" xr:uid="{ECAA8C80-2C28-4410-97F6-9A62E4B857D6}">
  <cacheSource type="external" connectionId="1"/>
  <cacheFields count="3">
    <cacheField name="[Table1].[Employment Status].[Employment Status]" caption="Employment Status" numFmtId="0" hierarchy="12" level="1">
      <sharedItems count="3">
        <s v="Active"/>
        <s v="Left"/>
        <s v="Resigned"/>
      </sharedItems>
    </cacheField>
    <cacheField name="[Measures].[Count of Emp ID]" caption="Count of Emp ID" numFmtId="0" hierarchy="20" level="32767"/>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611111" backgroundQuery="1" createdVersion="8" refreshedVersion="8" minRefreshableVersion="3" recordCount="0" supportSubquery="1" supportAdvancedDrill="1" xr:uid="{B56F246C-E8F7-4BB0-BA8D-34265A1DC248}">
  <cacheSource type="external" connectionId="1"/>
  <cacheFields count="3">
    <cacheField name="[Measures].[Count of Emp ID]" caption="Count of Emp ID" numFmtId="0" hierarchy="20" level="32767"/>
    <cacheField name="[Table1].[Department].[Department]" caption="Department" numFmtId="0" hierarchy="3" level="1">
      <sharedItems count="6">
        <s v="Finance"/>
        <s v="Human Resources"/>
        <s v="Information Technology"/>
        <s v="Marketing"/>
        <s v="Operations"/>
        <s v="Sales"/>
      </sharedItems>
    </cacheField>
    <cacheField name="[Table1].[Employment Status].[Employment Status]" caption="Employment Status" numFmtId="0" hierarchy="12" level="1">
      <sharedItems count="3">
        <s v="Active"/>
        <s v="Left"/>
        <s v="Resigned"/>
      </sharedItems>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2"/>
      </fieldsUsage>
    </cacheHierarchy>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6458333" backgroundQuery="1" createdVersion="8" refreshedVersion="8" minRefreshableVersion="3" recordCount="0" supportSubquery="1" supportAdvancedDrill="1" xr:uid="{3AC780DE-6674-4D48-B2A4-EF95FFB1436D}">
  <cacheSource type="external" connectionId="1"/>
  <cacheFields count="2">
    <cacheField name="[Measures].[Average of Perf_Score]" caption="Average of Perf_Score" numFmtId="0" hierarchy="22" level="32767"/>
    <cacheField name="[Table1].[Department].[Department]" caption="Department" numFmtId="0" hierarchy="3" level="1">
      <sharedItems count="6">
        <s v="Finance"/>
        <s v="Human Resources"/>
        <s v="Information Technology"/>
        <s v="Marketing"/>
        <s v="Operations"/>
        <s v="Sales"/>
      </sharedItems>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7037034" backgroundQuery="1" createdVersion="8" refreshedVersion="8" minRefreshableVersion="3" recordCount="0" supportSubquery="1" supportAdvancedDrill="1" xr:uid="{3CEA3315-91F0-4236-8CC4-C46ED457DD23}">
  <cacheSource type="external" connectionId="1"/>
  <cacheFields count="5">
    <cacheField name="[Table1].[Perf_Score].[Perf_Score]" caption="Perf_Score" numFmtId="0" hierarchy="7" level="1">
      <sharedItems containsSemiMixedTypes="0" containsString="0" containsNumber="1" containsInteger="1" minValue="30" maxValue="49" count="13">
        <n v="30"/>
        <n v="32"/>
        <n v="33"/>
        <n v="34"/>
        <n v="35"/>
        <n v="36"/>
        <n v="38"/>
        <n v="40"/>
        <n v="42"/>
        <n v="45"/>
        <n v="46"/>
        <n v="48"/>
        <n v="49"/>
      </sharedItems>
      <extLst>
        <ext xmlns:x15="http://schemas.microsoft.com/office/spreadsheetml/2010/11/main" uri="{4F2E5C28-24EA-4eb8-9CBF-B6C8F9C3D259}">
          <x15:cachedUniqueNames>
            <x15:cachedUniqueName index="0" name="[Table1].[Perf_Score].&amp;[30]"/>
            <x15:cachedUniqueName index="1" name="[Table1].[Perf_Score].&amp;[32]"/>
            <x15:cachedUniqueName index="2" name="[Table1].[Perf_Score].&amp;[33]"/>
            <x15:cachedUniqueName index="3" name="[Table1].[Perf_Score].&amp;[34]"/>
            <x15:cachedUniqueName index="4" name="[Table1].[Perf_Score].&amp;[35]"/>
            <x15:cachedUniqueName index="5" name="[Table1].[Perf_Score].&amp;[36]"/>
            <x15:cachedUniqueName index="6" name="[Table1].[Perf_Score].&amp;[38]"/>
            <x15:cachedUniqueName index="7" name="[Table1].[Perf_Score].&amp;[40]"/>
            <x15:cachedUniqueName index="8" name="[Table1].[Perf_Score].&amp;[42]"/>
            <x15:cachedUniqueName index="9" name="[Table1].[Perf_Score].&amp;[45]"/>
            <x15:cachedUniqueName index="10" name="[Table1].[Perf_Score].&amp;[46]"/>
            <x15:cachedUniqueName index="11" name="[Table1].[Perf_Score].&amp;[48]"/>
            <x15:cachedUniqueName index="12" name="[Table1].[Perf_Score].&amp;[49]"/>
          </x15:cachedUniqueNames>
        </ext>
      </extLst>
    </cacheField>
    <cacheField name="[Measures].[Average of Perf_Score]" caption="Average of Perf_Score" numFmtId="0" hierarchy="22" level="32767"/>
    <cacheField name="[Measures].[Average of Eligible Bonus Amount]" caption="Average of Eligible Bonus Amount" numFmtId="0" hierarchy="29" level="32767"/>
    <cacheField name="[Table1].[Performance_Band].[Performance_Band]" caption="Performance_Band" numFmtId="0" hierarchy="9" level="1">
      <sharedItems count="5">
        <s v="Achieving"/>
        <s v="Developing"/>
        <s v="Exceeding"/>
        <s v="Needs Improvement"/>
        <s v="Outstanding"/>
      </sharedItems>
    </cacheField>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2" memberValueDatatype="20" unbalanced="0">
      <fieldsUsage count="2">
        <fieldUsage x="-1"/>
        <fieldUsage x="0"/>
      </fieldsUsage>
    </cacheHierarchy>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3"/>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7500003" backgroundQuery="1" createdVersion="8" refreshedVersion="8" minRefreshableVersion="3" recordCount="0" supportSubquery="1" supportAdvancedDrill="1" xr:uid="{1203D714-8F01-4261-91D5-3ECD353D0C87}">
  <cacheSource type="external" connectionId="1"/>
  <cacheFields count="3">
    <cacheField name="[Table1].[Department].[Department]" caption="Department" numFmtId="0" hierarchy="3" level="1">
      <sharedItems count="5">
        <s v="Human Resources"/>
        <s v="Information Technology"/>
        <s v="Marketing"/>
        <s v="Operations"/>
        <s v="Sales"/>
      </sharedItems>
    </cacheField>
    <cacheField name="[Table1].[Performance_Band].[Performance_Band]" caption="Performance_Band" numFmtId="0" hierarchy="9" level="1">
      <sharedItems count="5">
        <s v="Achieving"/>
        <s v="Developing"/>
        <s v="Exceeding"/>
        <s v="Needs Improvement"/>
        <s v="Outstanding"/>
      </sharedItems>
    </cacheField>
    <cacheField name="[Measures].[Sum of Eligible Bonus Amount]" caption="Sum of Eligible Bonus Amount" numFmtId="0" hierarchy="23" level="32767"/>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1"/>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7615742" backgroundQuery="1" createdVersion="8" refreshedVersion="8" minRefreshableVersion="3" recordCount="0" supportSubquery="1" supportAdvancedDrill="1" xr:uid="{D502FFC0-ABB7-4FEE-BA5E-B89D4EBE0A28}">
  <cacheSource type="external" connectionId="1"/>
  <cacheFields count="2">
    <cacheField name="[Measures].[Sum of Eligible Bonus Amount]" caption="Sum of Eligible Bonus Amount" numFmtId="0" hierarchy="23" level="32767"/>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7847219" backgroundQuery="1" createdVersion="8" refreshedVersion="8" minRefreshableVersion="3" recordCount="0" supportSubquery="1" supportAdvancedDrill="1" xr:uid="{21B514A6-47F4-41E3-850F-E76805987B76}">
  <cacheSource type="external" connectionId="1"/>
  <cacheFields count="2">
    <cacheField name="[Measures].[Count of Emp ID]" caption="Count of Emp ID" numFmtId="0" hierarchy="20" level="32767"/>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8425927" backgroundQuery="1" createdVersion="8" refreshedVersion="8" minRefreshableVersion="3" recordCount="0" supportSubquery="1" supportAdvancedDrill="1" xr:uid="{7BF2834B-647A-41FF-AAE8-7B1E2B6C2D8B}">
  <cacheSource type="external" connectionId="1"/>
  <cacheFields count="3">
    <cacheField name="[Table1].[Department].[Department]" caption="Department" numFmtId="0" hierarchy="3" level="1">
      <sharedItems count="6">
        <s v="Finance"/>
        <s v="Human Resources"/>
        <s v="Information Technology"/>
        <s v="Marketing"/>
        <s v="Operations"/>
        <s v="Sales"/>
      </sharedItems>
    </cacheField>
    <cacheField name="[Measures].[Count of Emp ID]" caption="Count of Emp ID" numFmtId="0" hierarchy="20" level="32767"/>
    <cacheField name="[Table1].[Employment Status].[Employment Status]" caption="Employment Status" numFmtId="0" hierarchy="12" level="1">
      <sharedItems count="3">
        <s v="Active"/>
        <s v="Left"/>
        <s v="Resigned"/>
      </sharedItems>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2"/>
      </fieldsUsage>
    </cacheHierarchy>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42898877315" backgroundQuery="1" createdVersion="8" refreshedVersion="8" minRefreshableVersion="3" recordCount="0" supportSubquery="1" supportAdvancedDrill="1" xr:uid="{62738530-A0AD-4B49-B92C-790FCF876062}">
  <cacheSource type="external" connectionId="1"/>
  <cacheFields count="3">
    <cacheField name="[Measures].[Count of Emp ID]" caption="Count of Emp ID" numFmtId="0" hierarchy="20" level="32767"/>
    <cacheField name="[Table1].[Performance_Band].[Performance_Band]" caption="Performance_Band" numFmtId="0" hierarchy="9" level="1">
      <sharedItems count="5">
        <s v="Achieving"/>
        <s v="Developing"/>
        <s v="Exceeding"/>
        <s v="Needs Improvement"/>
        <s v="Outstanding"/>
      </sharedItems>
    </cacheField>
    <cacheField name="[Table1].[Department].[Department]" caption="Department" numFmtId="0" hierarchy="3" level="1">
      <sharedItems containsSemiMixedTypes="0" containsNonDate="0" containsString="0"/>
    </cacheField>
  </cacheFields>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fieldsUsage count="2">
        <fieldUsage x="-1"/>
        <fieldUsage x="1"/>
      </fieldsUsage>
    </cacheHierarchy>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423844560188" backgroundQuery="1" createdVersion="3" refreshedVersion="8" minRefreshableVersion="3" recordCount="0" supportSubquery="1" supportAdvancedDrill="1" xr:uid="{3B7A8C1F-D05E-47EC-BFCE-9ECF640AEE50}">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Emp ID]" caption="Emp ID" attribute="1" defaultMemberUniqueName="[Table1].[Emp ID].[All]" allUniqueName="[Table1].[Emp ID].[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Dept_Code]" caption="Dept_Code" attribute="1" defaultMemberUniqueName="[Table1].[Dept_Code].[All]" allUniqueName="[Table1].[Dept_Cod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Hire Date]" caption="Hire Date" attribute="1" defaultMemberUniqueName="[Table1].[Hire Date].[All]" allUniqueName="[Table1].[Hire Date].[All]" dimensionUniqueName="[Table1]" displayFolder="" count="0" memberValueDatatype="130" unbalanced="0"/>
    <cacheHierarchy uniqueName="[Table1].[Employment Year]" caption="Employment Year" attribute="1" defaultMemberUniqueName="[Table1].[Employment Year].[All]" allUniqueName="[Table1].[Employment Year].[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erf_Score]" caption="Perf_Score" attribute="1" defaultMemberUniqueName="[Table1].[Perf_Score].[All]" allUniqueName="[Table1].[Perf_Score].[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Performance_Band]" caption="Performance_Band" attribute="1" defaultMemberUniqueName="[Table1].[Performance_Band].[All]" allUniqueName="[Table1].[Performance_Band].[All]" dimensionUniqueName="[Table1]" displayFolder="" count="2" memberValueDatatype="130" unbalanced="0"/>
    <cacheHierarchy uniqueName="[Table1].[Bonus_Percentage]" caption="Bonus_Percentage" attribute="1" defaultMemberUniqueName="[Table1].[Bonus_Percentage].[All]" allUniqueName="[Table1].[Bonus_Percentage].[All]" dimensionUniqueName="[Table1]" displayFolder="" count="0" memberValueDatatype="5"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Column2]" caption="Column2" attribute="1" defaultMemberUniqueName="[Table1].[Column2].[All]" allUniqueName="[Table1].[Column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_Name]" caption="Count of Full_Name" measure="1" displayFolder="" measureGroup="Table1" count="0" hidden="1">
      <extLst>
        <ext xmlns:x15="http://schemas.microsoft.com/office/spreadsheetml/2010/11/main" uri="{B97F6D7D-B522-45F9-BDA1-12C45D357490}">
          <x15:cacheHierarchy aggregatedColumn="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2"/>
        </ext>
      </extLst>
    </cacheHierarchy>
    <cacheHierarchy uniqueName="[Measures].[Count of Emp ID]" caption="Count of Emp ID" measure="1" displayFolder="" measureGroup="Table1" count="0" hidden="1">
      <extLst>
        <ext xmlns:x15="http://schemas.microsoft.com/office/spreadsheetml/2010/11/main" uri="{B97F6D7D-B522-45F9-BDA1-12C45D357490}">
          <x15:cacheHierarchy aggregatedColumn="0"/>
        </ext>
      </extLst>
    </cacheHierarchy>
    <cacheHierarchy uniqueName="[Measures].[Sum of Perf_Score]" caption="Sum of Perf_Score" measure="1" displayFolder="" measureGroup="Table1" count="0" hidden="1">
      <extLst>
        <ext xmlns:x15="http://schemas.microsoft.com/office/spreadsheetml/2010/11/main" uri="{B97F6D7D-B522-45F9-BDA1-12C45D357490}">
          <x15:cacheHierarchy aggregatedColumn="7"/>
        </ext>
      </extLst>
    </cacheHierarchy>
    <cacheHierarchy uniqueName="[Measures].[Average of Perf_Score]" caption="Average of Perf_Score" measure="1" displayFolder="" measureGroup="Table1" count="0" hidden="1">
      <extLst>
        <ext xmlns:x15="http://schemas.microsoft.com/office/spreadsheetml/2010/11/main" uri="{B97F6D7D-B522-45F9-BDA1-12C45D357490}">
          <x15:cacheHierarchy aggregatedColumn="7"/>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4"/>
        </ext>
      </extLst>
    </cacheHierarchy>
    <cacheHierarchy uniqueName="[Measures].[Count of Dept_Code]" caption="Count of Dept_Code" measure="1" displayFolder="" measureGroup="Table1" count="0" hidden="1">
      <extLst>
        <ext xmlns:x15="http://schemas.microsoft.com/office/spreadsheetml/2010/11/main" uri="{B97F6D7D-B522-45F9-BDA1-12C45D357490}">
          <x15:cacheHierarchy aggregatedColumn="2"/>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6"/>
        </ext>
      </extLst>
    </cacheHierarchy>
    <cacheHierarchy uniqueName="[Measures].[Count of Performance_Band]" caption="Count of Performance_Band" measure="1" displayFolder="" measureGroup="Table1" count="0" hidden="1">
      <extLst>
        <ext xmlns:x15="http://schemas.microsoft.com/office/spreadsheetml/2010/11/main" uri="{B97F6D7D-B522-45F9-BDA1-12C45D357490}">
          <x15:cacheHierarchy aggregatedColumn="9"/>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143446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AEFFE-3A46-4C14-80EE-74E3083B7796}" name="PivotTable7" cacheId="6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epartments">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 ID" fld="0" subtotal="count" baseField="0" baseItem="0"/>
  </dataFields>
  <formats count="2">
    <format dxfId="319">
      <pivotArea outline="0" collapsedLevelsAreSubtotals="1" fieldPosition="0"/>
    </format>
    <format dxfId="318">
      <pivotArea outline="0" collapsedLevelsAreSubtotals="1" fieldPosition="0">
        <references count="1">
          <reference field="4294967294" count="1" selected="0">
            <x v="0"/>
          </reference>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66D40C-D108-4C7E-A22C-C493AF338D26}" name="PivotTable30" cacheId="63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chartFormat="8">
  <location ref="B49:C56"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Avg. Performance Score" fld="0" subtotal="average" baseField="1" baseItem="1" numFmtId="168"/>
  </dataFields>
  <formats count="2">
    <format dxfId="321">
      <pivotArea outline="0" collapsedLevelsAreSubtotals="1" fieldPosition="0"/>
    </format>
    <format dxfId="320">
      <pivotArea outline="0" fieldPosition="0">
        <references count="1">
          <reference field="4294967294" count="1">
            <x v="0"/>
          </reference>
        </references>
      </pivotArea>
    </format>
  </formats>
  <chartFormats count="1">
    <chartFormat chart="7"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g. Performance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3C41E-5D16-4BE8-8AE6-AB66A8B7A085}" name="PivotTable9" cacheId="65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chartFormat="11">
  <location ref="H44:I5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 ID" fld="0" subtotal="count" showDataAs="percentOfTotal" baseField="1" baseItem="0" numFmtId="10"/>
  </dataFields>
  <formats count="2">
    <format dxfId="323">
      <pivotArea outline="0" collapsedLevelsAreSubtotals="1" fieldPosition="0"/>
    </format>
    <format dxfId="322">
      <pivotArea outline="0" fieldPosition="0">
        <references count="1">
          <reference field="4294967294" count="1">
            <x v="0"/>
          </reference>
        </references>
      </pivotArea>
    </format>
  </format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 count="1" selected="0">
            <x v="0"/>
          </reference>
        </references>
      </pivotArea>
    </chartFormat>
    <chartFormat chart="8" format="21">
      <pivotArea type="data" outline="0" fieldPosition="0">
        <references count="2">
          <reference field="4294967294" count="1" selected="0">
            <x v="0"/>
          </reference>
          <reference field="1" count="1" selected="0">
            <x v="1"/>
          </reference>
        </references>
      </pivotArea>
    </chartFormat>
    <chartFormat chart="8" format="22">
      <pivotArea type="data" outline="0" fieldPosition="0">
        <references count="2">
          <reference field="4294967294" count="1" selected="0">
            <x v="0"/>
          </reference>
          <reference field="1" count="1" selected="0">
            <x v="2"/>
          </reference>
        </references>
      </pivotArea>
    </chartFormat>
    <chartFormat chart="8" format="23">
      <pivotArea type="data" outline="0" fieldPosition="0">
        <references count="2">
          <reference field="4294967294" count="1" selected="0">
            <x v="0"/>
          </reference>
          <reference field="1" count="1" selected="0">
            <x v="3"/>
          </reference>
        </references>
      </pivotArea>
    </chartFormat>
    <chartFormat chart="8" format="24">
      <pivotArea type="data" outline="0" fieldPosition="0">
        <references count="2">
          <reference field="4294967294" count="1" selected="0">
            <x v="0"/>
          </reference>
          <reference field="1" count="1" selected="0">
            <x v="4"/>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1" count="1" selected="0">
            <x v="0"/>
          </reference>
        </references>
      </pivotArea>
    </chartFormat>
    <chartFormat chart="10" format="33">
      <pivotArea type="data" outline="0" fieldPosition="0">
        <references count="2">
          <reference field="4294967294" count="1" selected="0">
            <x v="0"/>
          </reference>
          <reference field="1" count="1" selected="0">
            <x v="1"/>
          </reference>
        </references>
      </pivotArea>
    </chartFormat>
    <chartFormat chart="10" format="34">
      <pivotArea type="data" outline="0" fieldPosition="0">
        <references count="2">
          <reference field="4294967294" count="1" selected="0">
            <x v="0"/>
          </reference>
          <reference field="1" count="1" selected="0">
            <x v="2"/>
          </reference>
        </references>
      </pivotArea>
    </chartFormat>
    <chartFormat chart="10" format="35">
      <pivotArea type="data" outline="0" fieldPosition="0">
        <references count="2">
          <reference field="4294967294" count="1" selected="0">
            <x v="0"/>
          </reference>
          <reference field="1" count="1" selected="0">
            <x v="3"/>
          </reference>
        </references>
      </pivotArea>
    </chartFormat>
    <chartFormat chart="10" format="36">
      <pivotArea type="data" outline="0" fieldPosition="0">
        <references count="2">
          <reference field="4294967294" count="1" selected="0">
            <x v="0"/>
          </reference>
          <reference field="1" count="1" selected="0">
            <x v="4"/>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g. Performance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20363-F053-4B21-A047-4E90C9F16243}" name="PivotTable6" cacheId="64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location ref="B62:B6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Bonus Amount" fld="0" baseField="0" baseItem="0" numFmtId="167"/>
  </dataFields>
  <formats count="1">
    <format dxfId="324">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erage of Perf_Score"/>
    <pivotHierarchy dragToData="1" caption="Total Bonus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C24EB-7388-414B-926C-6AA9C050044A}" name="PivotTable21" cacheId="57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rowHeaderCaption="Departments" colHeaderCaption="No. of Headcounts">
  <location ref="E20:F23"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1">
    <i>
      <x/>
    </i>
  </colItems>
  <dataFields count="1">
    <dataField name="Department with highest" fld="2" subtotal="count" baseField="0" baseItem="0"/>
  </dataFields>
  <formats count="2">
    <format dxfId="326">
      <pivotArea outline="0" collapsedLevelsAreSubtotals="1" fieldPosition="0"/>
    </format>
    <format dxfId="325">
      <pivotArea dataOnly="0" labelOnly="1" fieldPosition="0">
        <references count="1">
          <reference field="1" count="0"/>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Department with highe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29781-F43E-4CF7-8D8A-36B5B009D77C}" name="PivotTable12" cacheId="6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epartments">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numFmtId="169"/>
  </dataFields>
  <formats count="1">
    <format dxfId="327">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Salary"/>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4F5826-E9D9-4D11-942A-8E37E36F925A}" name="PivotTable8" cacheId="6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chartFormat="12">
  <location ref="G28:K36"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7">
    <i>
      <x/>
    </i>
    <i>
      <x v="1"/>
    </i>
    <i>
      <x v="2"/>
    </i>
    <i>
      <x v="3"/>
    </i>
    <i>
      <x v="4"/>
    </i>
    <i>
      <x v="5"/>
    </i>
    <i t="grand">
      <x/>
    </i>
  </rowItems>
  <colFields count="1">
    <field x="2"/>
  </colFields>
  <colItems count="4">
    <i>
      <x/>
    </i>
    <i>
      <x v="1"/>
    </i>
    <i>
      <x v="2"/>
    </i>
    <i t="grand">
      <x/>
    </i>
  </colItems>
  <dataFields count="1">
    <dataField name="Count of Emp ID" fld="1" subtotal="count" showDataAs="percentOfRow" baseField="0" baseItem="0" numFmtId="10"/>
  </dataFields>
  <formats count="2">
    <format dxfId="329">
      <pivotArea outline="0" collapsedLevelsAreSubtotals="1" fieldPosition="0"/>
    </format>
    <format dxfId="328">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A6AC11-372E-4BFC-99D1-B6C58ABF8677}" name="PivotTable19" cacheId="575"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rowHeaderCaption="Departments" colHeaderCaption="No. of Headcounts">
  <location ref="H20:K23" firstHeaderRow="1" firstDataRow="2" firstDataCol="1"/>
  <pivotFields count="4">
    <pivotField axis="axisRow" allDrilled="1" subtotalTop="0" showAll="0"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3">
    <i>
      <x/>
    </i>
    <i>
      <x v="1"/>
    </i>
    <i>
      <x v="2"/>
    </i>
  </colItems>
  <dataFields count="1">
    <dataField name="Department with highest" fld="2" subtotal="count" baseField="0" baseItem="0"/>
  </dataFields>
  <formats count="2">
    <format dxfId="331">
      <pivotArea outline="0" collapsedLevelsAreSubtotals="1" fieldPosition="0"/>
    </format>
    <format dxfId="330">
      <pivotArea dataOnly="0" labelOnly="1" fieldPosition="0">
        <references count="1">
          <reference field="1" count="0"/>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Department with highe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B7108E-F4D9-456A-80C5-B00CA6B755DB}" name="PivotTable16" cacheId="62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rowHeaderCaption="Performance">
  <location ref="B65:C67" firstHeaderRow="1" firstDataRow="1" firstDataCol="1"/>
  <pivotFields count="2">
    <pivotField dataField="1" subtotalTop="0" showAll="0" defaultSubtotal="0"/>
    <pivotField axis="axisRow" allDrilled="1" subtotalTop="0" showAll="0" measureFilter="1" dataSourceSort="1" defaultSubtotal="0" defaultAttributeDrillState="1">
      <items count="1">
        <item x="0"/>
      </items>
    </pivotField>
  </pivotFields>
  <rowFields count="1">
    <field x="1"/>
  </rowFields>
  <rowItems count="2">
    <i>
      <x/>
    </i>
    <i t="grand">
      <x/>
    </i>
  </rowItems>
  <colItems count="1">
    <i/>
  </colItems>
  <dataFields count="1">
    <dataField name="HIghest Bonus Amount" fld="0" baseField="1" baseItem="0" numFmtId="167"/>
  </dataFields>
  <formats count="1">
    <format dxfId="332">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erage of Perf_Score"/>
    <pivotHierarchy dragToData="1" caption="HIghest Bonus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7E04FD-27BA-4800-A992-DB5CEFDFA501}" name="PivotTable3" cacheId="62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location ref="B28:E36"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s>
  <rowFields count="1">
    <field x="1"/>
  </rowFields>
  <rowItems count="7">
    <i>
      <x/>
    </i>
    <i>
      <x v="1"/>
    </i>
    <i>
      <x v="2"/>
    </i>
    <i>
      <x v="3"/>
    </i>
    <i>
      <x v="4"/>
    </i>
    <i>
      <x v="5"/>
    </i>
    <i t="grand">
      <x/>
    </i>
  </rowItems>
  <colFields count="1">
    <field x="2"/>
  </colFields>
  <colItems count="3">
    <i>
      <x/>
    </i>
    <i>
      <x v="1"/>
    </i>
    <i>
      <x v="2"/>
    </i>
  </colItems>
  <dataFields count="1">
    <dataField name="Count of Emp ID" fld="0" subtotal="count" baseField="1" baseItem="5"/>
  </dataFields>
  <formats count="2">
    <format dxfId="334">
      <pivotArea outline="0" collapsedLevelsAreSubtotals="1" fieldPosition="0"/>
    </format>
    <format dxfId="333">
      <pivotArea outline="0" fieldPosition="0">
        <references count="1">
          <reference field="4294967294" count="1">
            <x v="0"/>
          </reference>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54697C-E80E-4321-B3D1-96BF230BFB86}" name="PivotTable11" cacheId="61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rowHeaderCaption="Performance">
  <location ref="E62:F6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Bonus Amount" fld="1" baseField="0" baseItem="0" numFmtId="167"/>
  </dataFields>
  <formats count="1">
    <format dxfId="335">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erage of Perf_Score"/>
    <pivotHierarchy dragToData="1" caption="Bonus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E165C5-EC55-4C9F-8BE4-E1B19EB1EEF4}" name="PivotTable4" cacheId="635"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chartFormat="7" rowHeaderCaption="Performance">
  <location ref="H62:J68" firstHeaderRow="0" firstDataRow="1" firstDataCol="1"/>
  <pivotFields count="5">
    <pivotField allDrilled="1" subtotalTop="0" showAll="0" measureFilter="1"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name="Avg. Perf_Score" fld="1" subtotal="average" baseField="3" baseItem="0" numFmtId="168"/>
    <dataField name="Avg. Bonus Amount" fld="2" subtotal="average" baseField="3" baseItem="0" numFmtId="167"/>
  </dataFields>
  <formats count="2">
    <format dxfId="337">
      <pivotArea outline="0" collapsedLevelsAreSubtotals="1" fieldPosition="0"/>
    </format>
    <format dxfId="336">
      <pivotArea outline="0" collapsedLevelsAreSubtotals="1" fieldPosition="0">
        <references count="1">
          <reference field="4294967294" count="1" selected="0">
            <x v="0"/>
          </reference>
        </references>
      </pivotArea>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g. Perf_Score"/>
    <pivotHierarchy dragToData="1" caption="Bonus Amount"/>
    <pivotHierarchy dragToData="1"/>
    <pivotHierarchy dragToData="1"/>
    <pivotHierarchy dragToData="1"/>
    <pivotHierarchy dragToData="1"/>
    <pivotHierarchy dragToData="1"/>
    <pivotHierarchy dragToData="1" caption="Avg. Bonus Amount"/>
  </pivotHierarchies>
  <pivotTableStyleInfo name="PivotStyleLight16" showRowHeaders="1" showColHeaders="1" showRowStripes="0" showColStripes="0" showLastColumn="1"/>
  <filters count="1">
    <filter fld="0" type="valueLessThanOrEqual" id="1" iMeasureHier="23">
      <autoFilter ref="A1">
        <filterColumn colId="0">
          <customFilters>
            <customFilter operator="lessThanOrEqual" val="39"/>
          </customFilters>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C94EDF-BB32-4072-A468-A870E5CB1728}" name="PivotTable5" cacheId="63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chartFormat="10" rowHeaderCaption="Performance Band">
  <location ref="E46:F5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1"/>
    </i>
    <i>
      <x v="4"/>
    </i>
    <i>
      <x v="2"/>
    </i>
    <i>
      <x/>
    </i>
    <i t="grand">
      <x/>
    </i>
  </rowItems>
  <colItems count="1">
    <i/>
  </colItems>
  <dataFields count="1">
    <dataField name="Bonus Payout" fld="2" baseField="1" baseItem="0"/>
  </dataFields>
  <formats count="1">
    <format dxfId="338">
      <pivotArea outline="0" collapsedLevelsAreSubtotals="1" fieldPosition="0"/>
    </format>
  </formats>
  <chartFormats count="3">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HIghest Performance Score"/>
    <pivotHierarchy dragToData="1" caption="Bonus Payou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8" iMeasureHier="23">
      <autoFilter ref="A1">
        <filterColumn colId="0">
          <top10 val="6" filterVal="6"/>
        </filterColumn>
      </autoFilter>
    </filter>
    <filter fld="0" type="count" id="5" iMeasureHier="22">
      <autoFilter ref="A1">
        <filterColumn colId="0">
          <top10 val="6" filterVal="6"/>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1DF9E6-078B-457A-8AEE-0F665605BCE6}" name="PivotTable27" cacheId="6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mployment Status">
  <location ref="B20:C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Headcounts" fld="1" subtotal="count" baseField="0" baseItem="0"/>
  </dataFields>
  <formats count="1">
    <format dxfId="339">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Headcou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AA7223-9AA9-4E79-B424-2854B93E450B}" name="PivotTable14" cacheId="6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Departments">
  <location ref="B8:C1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No. of Headcount" fld="1" subtotal="count" baseField="0" baseItem="0"/>
  </dataFields>
  <formats count="1">
    <format dxfId="3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No. of Head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32D8EA-6DA7-4FE6-943C-22F212D7219B}" name="PivotTable17" cacheId="62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rowHeaderCaption="Department">
  <location ref="B43:C46" firstHeaderRow="1" firstDataRow="1" firstDataCol="1"/>
  <pivotFields count="2">
    <pivotField dataField="1" subtotalTop="0" showAll="0" defaultSubtotal="0"/>
    <pivotField axis="axisRow" allDrilled="1" subtotalTop="0" showAll="0" measureFilter="1" dataSourceSort="1" defaultSubtotal="0" defaultAttributeDrillState="1">
      <items count="2">
        <item x="0"/>
        <item x="1"/>
      </items>
    </pivotField>
  </pivotFields>
  <rowFields count="1">
    <field x="1"/>
  </rowFields>
  <rowItems count="3">
    <i>
      <x/>
    </i>
    <i>
      <x v="1"/>
    </i>
    <i t="grand">
      <x/>
    </i>
  </rowItems>
  <colItems count="1">
    <i/>
  </colItems>
  <dataFields count="1">
    <dataField name="Avg. Performance Score" fld="0" subtotal="average" baseField="1" baseItem="1" numFmtId="168"/>
  </dataFields>
  <formats count="2">
    <format dxfId="342">
      <pivotArea outline="0" collapsedLevelsAreSubtotals="1" fieldPosition="0"/>
    </format>
    <format dxfId="341">
      <pivotArea outline="0" fieldPosition="0">
        <references count="1">
          <reference field="4294967294" count="1">
            <x v="0"/>
          </reference>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caption="Avg. Performance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2" filterVal="2"/>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FA31AC2-65BD-4A73-8450-2C133443F959}" name="PivotTable10" cacheId="6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Departments">
  <location ref="E8:F1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Salary" fld="1" subtotal="average" baseField="0" baseItem="2"/>
  </dataFields>
  <formats count="1">
    <format dxfId="343">
      <pivotArea outline="0" collapsedLevelsAreSubtotals="1" fieldPosition="0"/>
    </format>
  </formats>
  <chartFormats count="2">
    <chartFormat chart="1"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No. of Head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E7B724-D66E-466E-9BC9-B184C5FAD4DE}" sourceName="[Table1].[Department]">
  <pivotTables>
    <pivotTable tabId="5" name="PivotTable14"/>
    <pivotTable tabId="5" name="PivotTable10"/>
    <pivotTable tabId="5" name="PivotTable11"/>
    <pivotTable tabId="5" name="PivotTable12"/>
    <pivotTable tabId="5" name="PivotTable16"/>
    <pivotTable tabId="5" name="PivotTable17"/>
    <pivotTable tabId="5" name="PivotTable27"/>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s>
  <data>
    <olap pivotCacheId="2143446796">
      <levels count="2">
        <level uniqueName="[Table1].[Department].[(All)]" sourceCaption="(All)" count="0"/>
        <level uniqueName="[Table1].[Department].[Department]" sourceCaption="Department" count="6">
          <ranges>
            <range startItem="0">
              <i n="[Table1].[Department].&amp;[Finance]" c="Finance"/>
              <i n="[Table1].[Department].&amp;[Human Resources]" c="Human Resources"/>
              <i n="[Table1].[Department].&amp;[Information Technology]" c="Information Technology"/>
              <i n="[Table1].[Department].&amp;[Marketing]" c="Marketing"/>
              <i n="[Table1].[Department].&amp;[Operations]" c="Operations"/>
              <i n="[Table1].[Department].&amp;[Sales]" c="Sale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A0E3B3D9-B658-4003-AC4A-2307061298B3}" sourceName="[Table1].[Employment Status]">
  <pivotTables>
    <pivotTable tabId="5" name="PivotTable14"/>
    <pivotTable tabId="5" name="PivotTable10"/>
    <pivotTable tabId="5" name="PivotTable11"/>
    <pivotTable tabId="5" name="PivotTable12"/>
    <pivotTable tabId="5" name="PivotTable16"/>
    <pivotTable tabId="5" name="PivotTable17"/>
    <pivotTable tabId="5" name="PivotTable19"/>
    <pivotTable tabId="5" name="PivotTable27"/>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s>
  <data>
    <olap pivotCacheId="2143446796">
      <levels count="2">
        <level uniqueName="[Table1].[Employment Status].[(All)]" sourceCaption="(All)" count="0"/>
        <level uniqueName="[Table1].[Employment Status].[Employment Status]" sourceCaption="Employment Status" count="3">
          <ranges>
            <range startItem="0">
              <i n="[Table1].[Employment Status].&amp;[Active]" c="Active"/>
              <i n="[Table1].[Employment Status].&amp;[Left]" c="Left"/>
              <i n="[Table1].[Employment Status].&amp;[Resigned]" c="Resigned"/>
            </range>
          </ranges>
        </level>
      </levels>
      <selections count="1">
        <selection n="[Table1].[Employment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Year" xr10:uid="{487DF5AC-5FDD-4899-9696-EE41DF078EA6}" sourceName="[Table1].[Employment Year]">
  <pivotTables>
    <pivotTable tabId="5" name="PivotTable14"/>
    <pivotTable tabId="5" name="PivotTable10"/>
    <pivotTable tabId="5" name="PivotTable11"/>
    <pivotTable tabId="5" name="PivotTable12"/>
    <pivotTable tabId="5" name="PivotTable16"/>
    <pivotTable tabId="5" name="PivotTable17"/>
    <pivotTable tabId="5" name="PivotTable19"/>
    <pivotTable tabId="5" name="PivotTable21"/>
    <pivotTable tabId="5" name="PivotTable27"/>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s>
  <data>
    <olap pivotCacheId="2143446796">
      <levels count="2">
        <level uniqueName="[Table1].[Employment Year].[(All)]" sourceCaption="(All)" count="0"/>
        <level uniqueName="[Table1].[Employment Year].[Employment Year]" sourceCaption="Employment Year" count="11">
          <ranges>
            <range startItem="0">
              <i n="[Table1].[Employment Year].&amp;[1921]" c="1921"/>
              <i n="[Table1].[Employment Year].&amp;[1922]" c="1922"/>
              <i n="[Table1].[Employment Year].&amp;[2015]" c="2015"/>
              <i n="[Table1].[Employment Year].&amp;[2016]" c="2016"/>
              <i n="[Table1].[Employment Year].&amp;[2017]" c="2017"/>
              <i n="[Table1].[Employment Year].&amp;[2018]" c="2018"/>
              <i n="[Table1].[Employment Year].&amp;[2019]" c="2019"/>
              <i n="[Table1].[Employment Year].&amp;[2020]" c="2020"/>
              <i n="[Table1].[Employment Year].&amp;[2021]" c="2021"/>
              <i n="[Table1].[Employment Year].&amp;[2022]" c="2022"/>
              <i n="[Table1].[Employment Year].&amp;[2023]" c="2023"/>
            </range>
          </ranges>
        </level>
      </levels>
      <selections count="1">
        <selection n="[Table1].[Employment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AAC875A3-524A-4D8A-85AF-B8F8CBECAB35}" sourceName="[Table1].[Performance_Band]">
  <pivotTables>
    <pivotTable tabId="5" name="PivotTable14"/>
    <pivotTable tabId="5" name="PivotTable10"/>
    <pivotTable tabId="5" name="PivotTable11"/>
    <pivotTable tabId="5" name="PivotTable12"/>
    <pivotTable tabId="5" name="PivotTable16"/>
    <pivotTable tabId="5" name="PivotTable17"/>
    <pivotTable tabId="5" name="PivotTable19"/>
    <pivotTable tabId="5" name="PivotTable21"/>
    <pivotTable tabId="5" name="PivotTable27"/>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s>
  <data>
    <olap pivotCacheId="2143446796">
      <levels count="2">
        <level uniqueName="[Table1].[Performance_Band].[(All)]" sourceCaption="(All)" count="0"/>
        <level uniqueName="[Table1].[Performance_Band].[Performance_Band]" sourceCaption="Performance_Band" count="5">
          <ranges>
            <range startItem="0">
              <i n="[Table1].[Performance_Band].&amp;[Achieving]" c="Achieving"/>
              <i n="[Table1].[Performance_Band].&amp;[Developing]" c="Developing"/>
              <i n="[Table1].[Performance_Band].&amp;[Exceeding]" c="Exceeding"/>
              <i n="[Table1].[Performance_Band].&amp;[Needs Improvement]" c="Needs Improvement"/>
              <i n="[Table1].[Performance_Band].&amp;[Outstanding]" c="Outstanding"/>
            </range>
          </ranges>
        </level>
      </levels>
      <selections count="1">
        <selection n="[Table1].[Performance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1049B6-CA36-4A2A-A6D2-71828E625F35}" cache="Slicer_Department" caption="Department" level="1" style="SlicerStyleDark1 4" rowHeight="241300"/>
  <slicer name="Employment Status" xr10:uid="{FE94A3CE-F93A-414A-AF10-0B9DFF95B18C}" cache="Slicer_Employment_Status" caption="Employment Status" columnCount="2" level="1" style="SlicerStyleDark1 4" rowHeight="241300"/>
  <slicer name="Employment Year" xr10:uid="{AE441D63-88EB-41EB-A897-E02AC4F8894F}" cache="Slicer_Employment_Year" caption="Employment Year" columnCount="2" level="1" style="SlicerStyleDark1 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2C46306-5C06-4C12-AF55-CB07EC047CB2}" cache="Slicer_Department" caption="Department" columnCount="2" level="1" style="SlicerStyleDark1 4" rowHeight="241300"/>
  <slicer name="Employment Year 1" xr10:uid="{4F8A4B16-5600-4A32-8031-B7A1DC96082A}" cache="Slicer_Employment_Year" caption="Employment Year" columnCount="2" level="1" style="SlicerStyleDark1 4" rowHeight="241300"/>
  <slicer name="Performance_Band 1" xr10:uid="{3826148E-9A5B-42E4-9F99-1BF0443D87C2}" cache="Slicer_Performance_Band" caption="Performance_Band" level="1" style="SlicerStyleDark1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3EEC41-A2F0-4C7D-A63C-D8DBE1034134}" name="Table1" displayName="Table1" ref="B1:O151" totalsRowShown="0" headerRowDxfId="358" headerRowBorderDxfId="357" tableBorderDxfId="356">
  <autoFilter ref="B1:O151" xr:uid="{603EEC41-A2F0-4C7D-A63C-D8DBE1034134}"/>
  <tableColumns count="14">
    <tableColumn id="1" xr3:uid="{1B6FA7B5-CED2-4223-82B1-6B09A1834E23}" name="Emp ID"/>
    <tableColumn id="2" xr3:uid="{33867DC6-62E4-4BB2-A0B1-AEBB549334EB}" name="Full_Name" dataDxfId="355"/>
    <tableColumn id="3" xr3:uid="{1A10C7E1-8787-4930-8AD7-77F00AE278D6}" name="Dept_Code"/>
    <tableColumn id="4" xr3:uid="{EA5C6AF0-738C-45F0-A2C8-79519B148E29}" name="Department" dataDxfId="354">
      <calculatedColumnFormula>_xlfn.XLOOKUP(D2,Lookup_Departments!$A$2:$A$7,Lookup_Departments!$B$2:$B$7,"Invalid Dept_Code",0)</calculatedColumnFormula>
    </tableColumn>
    <tableColumn id="5" xr3:uid="{4C7B6CC3-FE7D-48AA-BE39-94F73E53D2E2}" name="Hire Date  " dataDxfId="353"/>
    <tableColumn id="13" xr3:uid="{03AE09DF-871E-4FB3-A3A6-4B30FA937C4C}" name="Employment Year" dataDxfId="352">
      <calculatedColumnFormula>TEXT(Table1[[#This Row],[Hire Date  ]],"yyyy")</calculatedColumnFormula>
    </tableColumn>
    <tableColumn id="6" xr3:uid="{DEEA939E-8726-4545-8769-7F8DD7CDD573}" name="Salary      " dataDxfId="351"/>
    <tableColumn id="7" xr3:uid="{D52FBF83-D1AE-48D0-8F10-D8AC63466692}" name="Perf_Score         " dataDxfId="350"/>
    <tableColumn id="8" xr3:uid="{F39033C1-4EA4-4EE4-968A-D38B8BBFB31F}" name="Years of Service" dataDxfId="349">
      <calculatedColumnFormula>DATEDIF(F2,TODAY(),"Y")</calculatedColumnFormula>
    </tableColumn>
    <tableColumn id="9" xr3:uid="{33869848-914B-488B-8076-35FC3F9DDBE2}" name="Performance_Band" dataDxfId="348">
      <calculatedColumnFormula array="1">_xlfn.IFS(I2&lt;=49,"Needs Improvement",I2&lt;=69,"Developing",I2&lt;=84,"Achieving",I2&lt;=94,"Exceeding",I2&lt;=100,"Outstanding")</calculatedColumnFormula>
    </tableColumn>
    <tableColumn id="10" xr3:uid="{363690D6-0E5D-4A78-9D1B-78852674CC4F}" name="Bonus_Percentage" dataDxfId="347">
      <calculatedColumnFormula>_xlfn.XLOOKUP(K2,Lookup_Performance!$C$2:$C$6,Lookup_Performance!$D$2:$D$6,"N/A",0)</calculatedColumnFormula>
    </tableColumn>
    <tableColumn id="11" xr3:uid="{99DC8CC9-1937-403A-9DBE-B00FB9140151}" name="Eligible Bonus Amount   " dataDxfId="346">
      <calculatedColumnFormula>H2*L2</calculatedColumnFormula>
    </tableColumn>
    <tableColumn id="12" xr3:uid="{33D7975D-5048-4F66-8F4B-202DE058F051}" name="Employment Status" dataDxfId="345"/>
    <tableColumn id="14" xr3:uid="{B5292326-1359-4F2E-9AD3-DF6931070490}" name="Column2" dataDxfId="344">
      <calculatedColumnFormula>TRIM(CLEAN(Table1[[#This Row],[Employment Status]]))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151"/>
  <sheetViews>
    <sheetView tabSelected="1" zoomScale="80" zoomScaleNormal="80" workbookViewId="0">
      <selection sqref="A1:A1048576"/>
    </sheetView>
  </sheetViews>
  <sheetFormatPr defaultColWidth="10.28515625" defaultRowHeight="15" x14ac:dyDescent="0.25"/>
  <cols>
    <col min="1" max="1" width="23.42578125" customWidth="1"/>
    <col min="2" max="2" width="13.42578125" bestFit="1" customWidth="1"/>
    <col min="3" max="3" width="20.5703125" style="26" bestFit="1" customWidth="1"/>
    <col min="4" max="4" width="16.5703125" bestFit="1" customWidth="1"/>
    <col min="5" max="5" width="24.85546875" style="26" bestFit="1" customWidth="1"/>
    <col min="6" max="6" width="11.5703125" style="2" bestFit="1" customWidth="1"/>
    <col min="7" max="7" width="17.140625" style="2" bestFit="1" customWidth="1"/>
    <col min="8" max="8" width="10" style="7" bestFit="1" customWidth="1"/>
    <col min="9" max="9" width="21.42578125" style="28" bestFit="1" customWidth="1"/>
    <col min="10" max="10" width="21.28515625" style="4" bestFit="1" customWidth="1"/>
    <col min="11" max="11" width="23.85546875" style="6" bestFit="1" customWidth="1"/>
    <col min="12" max="12" width="23.42578125" style="6" bestFit="1" customWidth="1"/>
    <col min="13" max="13" width="28.85546875" style="30" bestFit="1" customWidth="1"/>
    <col min="14" max="14" width="24.5703125" style="26" bestFit="1" customWidth="1"/>
    <col min="15" max="15" width="14.5703125" bestFit="1" customWidth="1"/>
    <col min="17" max="17" width="10.7109375" bestFit="1" customWidth="1"/>
  </cols>
  <sheetData>
    <row r="1" spans="2:17" x14ac:dyDescent="0.25">
      <c r="B1" s="8" t="s">
        <v>0</v>
      </c>
      <c r="C1" s="25" t="s">
        <v>196</v>
      </c>
      <c r="D1" s="8" t="s">
        <v>179</v>
      </c>
      <c r="E1" s="25" t="s">
        <v>306</v>
      </c>
      <c r="F1" s="9" t="s">
        <v>308</v>
      </c>
      <c r="G1" s="9" t="s">
        <v>332</v>
      </c>
      <c r="H1" s="10" t="s">
        <v>309</v>
      </c>
      <c r="I1" s="27" t="s">
        <v>320</v>
      </c>
      <c r="J1" s="11" t="s">
        <v>307</v>
      </c>
      <c r="K1" s="11" t="s">
        <v>189</v>
      </c>
      <c r="L1" s="11" t="s">
        <v>190</v>
      </c>
      <c r="M1" s="29" t="s">
        <v>310</v>
      </c>
      <c r="N1" s="25" t="s">
        <v>1</v>
      </c>
      <c r="O1" s="11" t="s">
        <v>319</v>
      </c>
    </row>
    <row r="2" spans="2:17" x14ac:dyDescent="0.25">
      <c r="B2" t="s">
        <v>2</v>
      </c>
      <c r="C2" s="26" t="s">
        <v>197</v>
      </c>
      <c r="D2" t="s">
        <v>3</v>
      </c>
      <c r="E2" s="26" t="str">
        <f>_xlfn.XLOOKUP(D2,Lookup_Departments!$A$2:$A$7,Lookup_Departments!$B$2:$B$7,"Invalid Dept_Code",0)</f>
        <v>Information Technology</v>
      </c>
      <c r="F2" s="23">
        <v>43093</v>
      </c>
      <c r="G2" s="2" t="str">
        <f>TEXT(Table1[[#This Row],[Hire Date  ]],"yyyy")</f>
        <v>2017</v>
      </c>
      <c r="H2" s="7">
        <v>50361</v>
      </c>
      <c r="I2" s="28">
        <v>52</v>
      </c>
      <c r="J2" s="4">
        <f t="shared" ref="J2:J33" ca="1" si="0">DATEDIF(F2,TODAY(),"Y")</f>
        <v>8</v>
      </c>
      <c r="K2" s="6" t="str" cm="1">
        <f t="array" ref="K2">_xlfn.IFS(I2&lt;=49,"Needs Improvement",I2&lt;=69,"Developing",I2&lt;=84,"Achieving",I2&lt;=94,"Exceeding",I2&lt;=100,"Outstanding")</f>
        <v>Developing</v>
      </c>
      <c r="L2" s="6">
        <f>_xlfn.XLOOKUP(K2,Lookup_Performance!$C$2:$C$6,Lookup_Performance!$D$2:$D$6,"N/A",0)</f>
        <v>0.02</v>
      </c>
      <c r="M2" s="30">
        <f>H2*L2</f>
        <v>1007.22</v>
      </c>
      <c r="N2" s="26" t="s">
        <v>18</v>
      </c>
      <c r="O2" t="str">
        <f>TRIM(CLEAN(Table1[[#This Row],[Employment Status]]))</f>
        <v>Active</v>
      </c>
    </row>
    <row r="3" spans="2:17" x14ac:dyDescent="0.25">
      <c r="B3" t="s">
        <v>4</v>
      </c>
      <c r="C3" s="26" t="s">
        <v>198</v>
      </c>
      <c r="D3" t="s">
        <v>5</v>
      </c>
      <c r="E3" s="26" t="str">
        <f>_xlfn.XLOOKUP(D3,Lookup_Departments!$A$2:$A$7,Lookup_Departments!$B$2:$B$7,"Invalid Dept_Code",0)</f>
        <v>Marketing</v>
      </c>
      <c r="F3" s="23">
        <v>44659</v>
      </c>
      <c r="G3" s="2" t="str">
        <f>TEXT(Table1[[#This Row],[Hire Date  ]],"yyyy")</f>
        <v>2022</v>
      </c>
      <c r="H3" s="7">
        <v>112673</v>
      </c>
      <c r="I3" s="28">
        <v>68</v>
      </c>
      <c r="J3" s="4">
        <f t="shared" ca="1" si="0"/>
        <v>4</v>
      </c>
      <c r="K3" s="6" t="str" cm="1">
        <f t="array" ref="K3">_xlfn.IFS(I3&lt;=49,"Needs Improvement",I3&lt;=69,"Developing",I3&lt;=84,"Achieving",I3&lt;=94,"Exceeding",I3&lt;=100,"Outstanding")</f>
        <v>Developing</v>
      </c>
      <c r="L3" s="6">
        <f>_xlfn.XLOOKUP(K3,Lookup_Performance!$C$2:$C$6,Lookup_Performance!$D$2:$D$6,"N/A",0)</f>
        <v>0.02</v>
      </c>
      <c r="M3" s="30">
        <f t="shared" ref="M3:M66" si="1">H3*L3</f>
        <v>2253.46</v>
      </c>
      <c r="N3" s="26" t="s">
        <v>18</v>
      </c>
      <c r="O3" s="5" t="str">
        <f>TRIM(CLEAN(Table1[[#This Row],[Employment Status]]))</f>
        <v>Active</v>
      </c>
      <c r="P3" s="3"/>
      <c r="Q3" s="18"/>
    </row>
    <row r="4" spans="2:17" x14ac:dyDescent="0.25">
      <c r="B4" t="s">
        <v>6</v>
      </c>
      <c r="C4" s="26" t="s">
        <v>199</v>
      </c>
      <c r="D4" t="s">
        <v>3</v>
      </c>
      <c r="E4" s="26" t="str">
        <f>_xlfn.XLOOKUP(D4,Lookup_Departments!$A$2:$A$7,Lookup_Departments!$B$2:$B$7,"Invalid Dept_Code",0)</f>
        <v>Information Technology</v>
      </c>
      <c r="F4" s="23">
        <v>42431</v>
      </c>
      <c r="G4" s="2" t="str">
        <f>TEXT(Table1[[#This Row],[Hire Date  ]],"yyyy")</f>
        <v>2016</v>
      </c>
      <c r="H4" s="7">
        <v>114425</v>
      </c>
      <c r="I4" s="28">
        <v>54</v>
      </c>
      <c r="J4" s="4">
        <f t="shared" ca="1" si="0"/>
        <v>10</v>
      </c>
      <c r="K4" s="6" t="str" cm="1">
        <f t="array" ref="K4">_xlfn.IFS(I4&lt;=49,"Needs Improvement",I4&lt;=69,"Developing",I4&lt;=84,"Achieving",I4&lt;=94,"Exceeding",I4&lt;=100,"Outstanding")</f>
        <v>Developing</v>
      </c>
      <c r="L4" s="6">
        <f>_xlfn.XLOOKUP(K4,Lookup_Performance!$C$2:$C$6,Lookup_Performance!$D$2:$D$6,"N/A",0)</f>
        <v>0.02</v>
      </c>
      <c r="M4" s="30">
        <f t="shared" si="1"/>
        <v>2288.5</v>
      </c>
      <c r="N4" s="26" t="s">
        <v>10</v>
      </c>
      <c r="O4" t="str">
        <f>TRIM(CLEAN(Table1[[#This Row],[Employment Status]]))</f>
        <v>Left</v>
      </c>
    </row>
    <row r="5" spans="2:17" x14ac:dyDescent="0.25">
      <c r="B5" t="s">
        <v>7</v>
      </c>
      <c r="C5" s="26" t="s">
        <v>200</v>
      </c>
      <c r="D5" t="s">
        <v>8</v>
      </c>
      <c r="E5" s="26" t="str">
        <f>_xlfn.XLOOKUP(D5,Lookup_Departments!$A$2:$A$7,Lookup_Departments!$B$2:$B$7,"Invalid Dept_Code",0)</f>
        <v>Finance</v>
      </c>
      <c r="F5" s="23">
        <v>45110</v>
      </c>
      <c r="G5" s="2" t="str">
        <f>TEXT(Table1[[#This Row],[Hire Date  ]],"yyyy")</f>
        <v>2023</v>
      </c>
      <c r="H5" s="7">
        <v>103831</v>
      </c>
      <c r="I5" s="28">
        <v>70</v>
      </c>
      <c r="J5" s="4">
        <f t="shared" ca="1" si="0"/>
        <v>3</v>
      </c>
      <c r="K5" s="6" t="str" cm="1">
        <f t="array" ref="K5">_xlfn.IFS(I5&lt;=49,"Needs Improvement",I5&lt;=69,"Developing",I5&lt;=84,"Achieving",I5&lt;=94,"Exceeding",I5&lt;=100,"Outstanding")</f>
        <v>Achieving</v>
      </c>
      <c r="L5" s="6">
        <f>_xlfn.XLOOKUP(K5,Lookup_Performance!$C$2:$C$6,Lookup_Performance!$D$2:$D$6,"N/A",0)</f>
        <v>0.05</v>
      </c>
      <c r="M5" s="30">
        <f t="shared" si="1"/>
        <v>5191.55</v>
      </c>
      <c r="N5" s="26" t="s">
        <v>18</v>
      </c>
      <c r="O5" t="str">
        <f>TRIM(CLEAN(Table1[[#This Row],[Employment Status]]))</f>
        <v>Active</v>
      </c>
    </row>
    <row r="6" spans="2:17" x14ac:dyDescent="0.25">
      <c r="B6" t="s">
        <v>9</v>
      </c>
      <c r="C6" s="26" t="s">
        <v>201</v>
      </c>
      <c r="D6" t="s">
        <v>3</v>
      </c>
      <c r="E6" s="26" t="str">
        <f>_xlfn.XLOOKUP(D6,Lookup_Departments!$A$2:$A$7,Lookup_Departments!$B$2:$B$7,"Invalid Dept_Code",0)</f>
        <v>Information Technology</v>
      </c>
      <c r="F6" s="23">
        <v>44977</v>
      </c>
      <c r="G6" s="2" t="str">
        <f>TEXT(Table1[[#This Row],[Hire Date  ]],"yyyy")</f>
        <v>2023</v>
      </c>
      <c r="H6" s="7">
        <v>73785</v>
      </c>
      <c r="I6" s="28">
        <v>40</v>
      </c>
      <c r="J6" s="4">
        <f t="shared" ca="1" si="0"/>
        <v>3</v>
      </c>
      <c r="K6" s="6" t="str" cm="1">
        <f t="array" ref="K6">_xlfn.IFS(I6&lt;=49,"Needs Improvement",I6&lt;=69,"Developing",I6&lt;=84,"Achieving",I6&lt;=94,"Exceeding",I6&lt;=100,"Outstanding")</f>
        <v>Needs Improvement</v>
      </c>
      <c r="L6" s="6">
        <f>_xlfn.XLOOKUP(K6,Lookup_Performance!$C$2:$C$6,Lookup_Performance!$D$2:$D$6,"N/A",0)</f>
        <v>0</v>
      </c>
      <c r="M6" s="30">
        <f t="shared" si="1"/>
        <v>0</v>
      </c>
      <c r="N6" s="26" t="s">
        <v>10</v>
      </c>
      <c r="O6" t="str">
        <f>TRIM(CLEAN(Table1[[#This Row],[Employment Status]]))</f>
        <v>Left</v>
      </c>
    </row>
    <row r="7" spans="2:17" x14ac:dyDescent="0.25">
      <c r="B7" t="s">
        <v>11</v>
      </c>
      <c r="C7" s="26" t="s">
        <v>202</v>
      </c>
      <c r="D7" t="s">
        <v>12</v>
      </c>
      <c r="E7" s="26" t="str">
        <f>_xlfn.XLOOKUP(D7,Lookup_Departments!$A$2:$A$7,Lookup_Departments!$B$2:$B$7,"Invalid Dept_Code",0)</f>
        <v>Operations</v>
      </c>
      <c r="F7" s="23">
        <v>43892</v>
      </c>
      <c r="G7" s="2" t="str">
        <f>TEXT(Table1[[#This Row],[Hire Date  ]],"yyyy")</f>
        <v>2020</v>
      </c>
      <c r="H7" s="7">
        <v>115882</v>
      </c>
      <c r="I7" s="28">
        <v>49</v>
      </c>
      <c r="J7" s="4">
        <f t="shared" ca="1" si="0"/>
        <v>6</v>
      </c>
      <c r="K7" s="6" t="str" cm="1">
        <f t="array" ref="K7">_xlfn.IFS(I7&lt;=49,"Needs Improvement",I7&lt;=69,"Developing",I7&lt;=84,"Achieving",I7&lt;=94,"Exceeding",I7&lt;=100,"Outstanding")</f>
        <v>Needs Improvement</v>
      </c>
      <c r="L7" s="6">
        <f>_xlfn.XLOOKUP(K7,Lookup_Performance!$C$2:$C$6,Lookup_Performance!$D$2:$D$6,"N/A",0)</f>
        <v>0</v>
      </c>
      <c r="M7" s="30">
        <f t="shared" si="1"/>
        <v>0</v>
      </c>
      <c r="N7" s="26" t="s">
        <v>18</v>
      </c>
      <c r="O7" t="str">
        <f>TRIM(CLEAN(Table1[[#This Row],[Employment Status]]))</f>
        <v>Active</v>
      </c>
      <c r="Q7" s="19"/>
    </row>
    <row r="8" spans="2:17" x14ac:dyDescent="0.25">
      <c r="B8" t="s">
        <v>13</v>
      </c>
      <c r="C8" s="26" t="s">
        <v>203</v>
      </c>
      <c r="D8" t="s">
        <v>12</v>
      </c>
      <c r="E8" s="26" t="str">
        <f>_xlfn.XLOOKUP(D8,Lookup_Departments!$A$2:$A$7,Lookup_Departments!$B$2:$B$7,"Invalid Dept_Code",0)</f>
        <v>Operations</v>
      </c>
      <c r="F8" s="23">
        <v>45272</v>
      </c>
      <c r="G8" s="2" t="str">
        <f>TEXT(Table1[[#This Row],[Hire Date  ]],"yyyy")</f>
        <v>2023</v>
      </c>
      <c r="H8" s="7">
        <v>59980</v>
      </c>
      <c r="I8" s="28">
        <v>70</v>
      </c>
      <c r="J8" s="4">
        <f t="shared" ca="1" si="0"/>
        <v>2</v>
      </c>
      <c r="K8" s="6" t="str" cm="1">
        <f t="array" ref="K8">_xlfn.IFS(I8&lt;=49,"Needs Improvement",I8&lt;=69,"Developing",I8&lt;=84,"Achieving",I8&lt;=94,"Exceeding",I8&lt;=100,"Outstanding")</f>
        <v>Achieving</v>
      </c>
      <c r="L8" s="6">
        <f>_xlfn.XLOOKUP(K8,Lookup_Performance!$C$2:$C$6,Lookup_Performance!$D$2:$D$6,"N/A",0)</f>
        <v>0.05</v>
      </c>
      <c r="M8" s="30">
        <f t="shared" si="1"/>
        <v>2999</v>
      </c>
      <c r="N8" s="26" t="s">
        <v>10</v>
      </c>
      <c r="O8" t="str">
        <f>TRIM(CLEAN(Table1[[#This Row],[Employment Status]]))</f>
        <v>Left</v>
      </c>
    </row>
    <row r="9" spans="2:17" x14ac:dyDescent="0.25">
      <c r="B9" t="s">
        <v>14</v>
      </c>
      <c r="C9" s="26" t="s">
        <v>204</v>
      </c>
      <c r="D9" t="s">
        <v>12</v>
      </c>
      <c r="E9" s="26" t="str">
        <f>_xlfn.XLOOKUP(D9,Lookup_Departments!$A$2:$A$7,Lookup_Departments!$B$2:$B$7,"Invalid Dept_Code",0)</f>
        <v>Operations</v>
      </c>
      <c r="F9" s="23">
        <v>44174</v>
      </c>
      <c r="G9" s="2" t="str">
        <f>TEXT(Table1[[#This Row],[Hire Date  ]],"yyyy")</f>
        <v>2020</v>
      </c>
      <c r="H9" s="7">
        <v>68728</v>
      </c>
      <c r="I9" s="28">
        <v>45</v>
      </c>
      <c r="J9" s="4">
        <f t="shared" ca="1" si="0"/>
        <v>5</v>
      </c>
      <c r="K9" s="6" t="str" cm="1">
        <f t="array" ref="K9">_xlfn.IFS(I9&lt;=49,"Needs Improvement",I9&lt;=69,"Developing",I9&lt;=84,"Achieving",I9&lt;=94,"Exceeding",I9&lt;=100,"Outstanding")</f>
        <v>Needs Improvement</v>
      </c>
      <c r="L9" s="6">
        <f>_xlfn.XLOOKUP(K9,Lookup_Performance!$C$2:$C$6,Lookup_Performance!$D$2:$D$6,"N/A",0)</f>
        <v>0</v>
      </c>
      <c r="M9" s="30">
        <f t="shared" si="1"/>
        <v>0</v>
      </c>
      <c r="N9" s="26" t="s">
        <v>18</v>
      </c>
      <c r="O9" t="str">
        <f>TRIM(CLEAN(Table1[[#This Row],[Employment Status]]))</f>
        <v>Active</v>
      </c>
    </row>
    <row r="10" spans="2:17" x14ac:dyDescent="0.25">
      <c r="B10" t="s">
        <v>15</v>
      </c>
      <c r="C10" s="26" t="s">
        <v>205</v>
      </c>
      <c r="D10" t="s">
        <v>8</v>
      </c>
      <c r="E10" s="26" t="str">
        <f>_xlfn.XLOOKUP(D10,Lookup_Departments!$A$2:$A$7,Lookup_Departments!$B$2:$B$7,"Invalid Dept_Code",0)</f>
        <v>Finance</v>
      </c>
      <c r="F10" s="23">
        <v>43107</v>
      </c>
      <c r="G10" s="2" t="str">
        <f>TEXT(Table1[[#This Row],[Hire Date  ]],"yyyy")</f>
        <v>2018</v>
      </c>
      <c r="H10" s="7">
        <v>102139</v>
      </c>
      <c r="I10" s="28">
        <v>79</v>
      </c>
      <c r="J10" s="4">
        <f t="shared" ca="1" si="0"/>
        <v>8</v>
      </c>
      <c r="K10" s="6" t="str" cm="1">
        <f t="array" ref="K10">_xlfn.IFS(I10&lt;=49,"Needs Improvement",I10&lt;=69,"Developing",I10&lt;=84,"Achieving",I10&lt;=94,"Exceeding",I10&lt;=100,"Outstanding")</f>
        <v>Achieving</v>
      </c>
      <c r="L10" s="6">
        <f>_xlfn.XLOOKUP(K10,Lookup_Performance!$C$2:$C$6,Lookup_Performance!$D$2:$D$6,"N/A",0)</f>
        <v>0.05</v>
      </c>
      <c r="M10" s="30">
        <f t="shared" si="1"/>
        <v>5106.9500000000007</v>
      </c>
      <c r="N10" s="26" t="s">
        <v>18</v>
      </c>
      <c r="O10" t="str">
        <f>TRIM(CLEAN(Table1[[#This Row],[Employment Status]]))</f>
        <v>Active</v>
      </c>
    </row>
    <row r="11" spans="2:17" x14ac:dyDescent="0.25">
      <c r="B11" t="s">
        <v>16</v>
      </c>
      <c r="C11" s="26" t="s">
        <v>206</v>
      </c>
      <c r="D11" t="s">
        <v>17</v>
      </c>
      <c r="E11" s="26" t="str">
        <f>_xlfn.XLOOKUP(D11,Lookup_Departments!$A$2:$A$7,Lookup_Departments!$B$2:$B$7,"Invalid Dept_Code",0)</f>
        <v>Sales</v>
      </c>
      <c r="F11" s="23">
        <v>42676</v>
      </c>
      <c r="G11" s="2" t="str">
        <f>TEXT(Table1[[#This Row],[Hire Date  ]],"yyyy")</f>
        <v>2016</v>
      </c>
      <c r="H11" s="7">
        <v>94998</v>
      </c>
      <c r="I11" s="28">
        <v>58</v>
      </c>
      <c r="J11" s="4">
        <f t="shared" ca="1" si="0"/>
        <v>9</v>
      </c>
      <c r="K11" s="6" t="str" cm="1">
        <f t="array" ref="K11">_xlfn.IFS(I11&lt;=49,"Needs Improvement",I11&lt;=69,"Developing",I11&lt;=84,"Achieving",I11&lt;=94,"Exceeding",I11&lt;=100,"Outstanding")</f>
        <v>Developing</v>
      </c>
      <c r="L11" s="6">
        <f>_xlfn.XLOOKUP(K11,Lookup_Performance!$C$2:$C$6,Lookup_Performance!$D$2:$D$6,"N/A",0)</f>
        <v>0.02</v>
      </c>
      <c r="M11" s="30">
        <f t="shared" si="1"/>
        <v>1899.96</v>
      </c>
      <c r="N11" s="26" t="s">
        <v>18</v>
      </c>
      <c r="O11" t="str">
        <f>TRIM(CLEAN(Table1[[#This Row],[Employment Status]]))</f>
        <v>Active</v>
      </c>
    </row>
    <row r="12" spans="2:17" x14ac:dyDescent="0.25">
      <c r="B12" t="s">
        <v>19</v>
      </c>
      <c r="C12" s="26" t="s">
        <v>207</v>
      </c>
      <c r="D12" t="s">
        <v>17</v>
      </c>
      <c r="E12" s="26" t="str">
        <f>_xlfn.XLOOKUP(D12,Lookup_Departments!$A$2:$A$7,Lookup_Departments!$B$2:$B$7,"Invalid Dept_Code",0)</f>
        <v>Sales</v>
      </c>
      <c r="F12" s="23">
        <v>43911</v>
      </c>
      <c r="G12" s="2" t="str">
        <f>TEXT(Table1[[#This Row],[Hire Date  ]],"yyyy")</f>
        <v>2020</v>
      </c>
      <c r="H12" s="7">
        <v>118635</v>
      </c>
      <c r="I12" s="28">
        <v>49</v>
      </c>
      <c r="J12" s="4">
        <f t="shared" ca="1" si="0"/>
        <v>6</v>
      </c>
      <c r="K12" s="6" t="str" cm="1">
        <f t="array" ref="K12">_xlfn.IFS(I12&lt;=49,"Needs Improvement",I12&lt;=69,"Developing",I12&lt;=84,"Achieving",I12&lt;=94,"Exceeding",I12&lt;=100,"Outstanding")</f>
        <v>Needs Improvement</v>
      </c>
      <c r="L12" s="6">
        <f>_xlfn.XLOOKUP(K12,Lookup_Performance!$C$2:$C$6,Lookup_Performance!$D$2:$D$6,"N/A",0)</f>
        <v>0</v>
      </c>
      <c r="M12" s="30">
        <f t="shared" si="1"/>
        <v>0</v>
      </c>
      <c r="N12" s="26" t="s">
        <v>18</v>
      </c>
      <c r="O12" t="str">
        <f>TRIM(CLEAN(Table1[[#This Row],[Employment Status]]))</f>
        <v>Active</v>
      </c>
    </row>
    <row r="13" spans="2:17" x14ac:dyDescent="0.25">
      <c r="B13" t="s">
        <v>20</v>
      </c>
      <c r="C13" s="26" t="s">
        <v>208</v>
      </c>
      <c r="D13" t="s">
        <v>3</v>
      </c>
      <c r="E13" s="26" t="str">
        <f>_xlfn.XLOOKUP(D13,Lookup_Departments!$A$2:$A$7,Lookup_Departments!$B$2:$B$7,"Invalid Dept_Code",0)</f>
        <v>Information Technology</v>
      </c>
      <c r="F13" s="23">
        <v>42425</v>
      </c>
      <c r="G13" s="2" t="str">
        <f>TEXT(Table1[[#This Row],[Hire Date  ]],"yyyy")</f>
        <v>2016</v>
      </c>
      <c r="H13" s="7">
        <v>76918</v>
      </c>
      <c r="I13" s="28">
        <v>62</v>
      </c>
      <c r="J13" s="4">
        <f t="shared" ca="1" si="0"/>
        <v>10</v>
      </c>
      <c r="K13" s="6" t="str" cm="1">
        <f t="array" ref="K13">_xlfn.IFS(I13&lt;=49,"Needs Improvement",I13&lt;=69,"Developing",I13&lt;=84,"Achieving",I13&lt;=94,"Exceeding",I13&lt;=100,"Outstanding")</f>
        <v>Developing</v>
      </c>
      <c r="L13" s="6">
        <f>_xlfn.XLOOKUP(K13,Lookup_Performance!$C$2:$C$6,Lookup_Performance!$D$2:$D$6,"N/A",0)</f>
        <v>0.02</v>
      </c>
      <c r="M13" s="30">
        <f t="shared" si="1"/>
        <v>1538.3600000000001</v>
      </c>
      <c r="N13" s="26" t="s">
        <v>18</v>
      </c>
      <c r="O13" t="str">
        <f>TRIM(CLEAN(Table1[[#This Row],[Employment Status]]))</f>
        <v>Active</v>
      </c>
    </row>
    <row r="14" spans="2:17" x14ac:dyDescent="0.25">
      <c r="B14" t="s">
        <v>21</v>
      </c>
      <c r="C14" s="26" t="s">
        <v>209</v>
      </c>
      <c r="D14" t="s">
        <v>5</v>
      </c>
      <c r="E14" s="26" t="str">
        <f>_xlfn.XLOOKUP(D14,Lookup_Departments!$A$2:$A$7,Lookup_Departments!$B$2:$B$7,"Invalid Dept_Code",0)</f>
        <v>Marketing</v>
      </c>
      <c r="F14" s="23">
        <v>44364</v>
      </c>
      <c r="G14" s="2" t="str">
        <f>TEXT(Table1[[#This Row],[Hire Date  ]],"yyyy")</f>
        <v>2021</v>
      </c>
      <c r="H14" s="7">
        <v>61408</v>
      </c>
      <c r="I14" s="28">
        <v>48</v>
      </c>
      <c r="J14" s="4">
        <f t="shared" ca="1" si="0"/>
        <v>5</v>
      </c>
      <c r="K14" s="6" t="str" cm="1">
        <f t="array" ref="K14">_xlfn.IFS(I14&lt;=49,"Needs Improvement",I14&lt;=69,"Developing",I14&lt;=84,"Achieving",I14&lt;=94,"Exceeding",I14&lt;=100,"Outstanding")</f>
        <v>Needs Improvement</v>
      </c>
      <c r="L14" s="6">
        <f>_xlfn.XLOOKUP(K14,Lookup_Performance!$C$2:$C$6,Lookup_Performance!$D$2:$D$6,"N/A",0)</f>
        <v>0</v>
      </c>
      <c r="M14" s="30">
        <f t="shared" si="1"/>
        <v>0</v>
      </c>
      <c r="N14" s="26" t="s">
        <v>18</v>
      </c>
      <c r="O14" t="str">
        <f>TRIM(CLEAN(Table1[[#This Row],[Employment Status]]))</f>
        <v>Active</v>
      </c>
    </row>
    <row r="15" spans="2:17" x14ac:dyDescent="0.25">
      <c r="B15" t="s">
        <v>22</v>
      </c>
      <c r="C15" s="26" t="s">
        <v>210</v>
      </c>
      <c r="D15" t="s">
        <v>5</v>
      </c>
      <c r="E15" s="26" t="str">
        <f>_xlfn.XLOOKUP(D15,Lookup_Departments!$A$2:$A$7,Lookup_Departments!$B$2:$B$7,"Invalid Dept_Code",0)</f>
        <v>Marketing</v>
      </c>
      <c r="F15" s="23">
        <v>44001</v>
      </c>
      <c r="G15" s="2" t="str">
        <f>TEXT(Table1[[#This Row],[Hire Date  ]],"yyyy")</f>
        <v>2020</v>
      </c>
      <c r="H15" s="7">
        <v>99990</v>
      </c>
      <c r="I15" s="28">
        <v>54</v>
      </c>
      <c r="J15" s="4">
        <f t="shared" ca="1" si="0"/>
        <v>6</v>
      </c>
      <c r="K15" s="6" t="str" cm="1">
        <f t="array" ref="K15">_xlfn.IFS(I15&lt;=49,"Needs Improvement",I15&lt;=69,"Developing",I15&lt;=84,"Achieving",I15&lt;=94,"Exceeding",I15&lt;=100,"Outstanding")</f>
        <v>Developing</v>
      </c>
      <c r="L15" s="6">
        <f>_xlfn.XLOOKUP(K15,Lookup_Performance!$C$2:$C$6,Lookup_Performance!$D$2:$D$6,"N/A",0)</f>
        <v>0.02</v>
      </c>
      <c r="M15" s="30">
        <f t="shared" si="1"/>
        <v>1999.8</v>
      </c>
      <c r="N15" s="26" t="s">
        <v>18</v>
      </c>
      <c r="O15" t="str">
        <f>TRIM(CLEAN(Table1[[#This Row],[Employment Status]]))</f>
        <v>Active</v>
      </c>
    </row>
    <row r="16" spans="2:17" x14ac:dyDescent="0.25">
      <c r="B16" t="s">
        <v>23</v>
      </c>
      <c r="C16" s="26" t="s">
        <v>211</v>
      </c>
      <c r="D16" t="s">
        <v>5</v>
      </c>
      <c r="E16" s="26" t="str">
        <f>_xlfn.XLOOKUP(D16,Lookup_Departments!$A$2:$A$7,Lookup_Departments!$B$2:$B$7,"Invalid Dept_Code",0)</f>
        <v>Marketing</v>
      </c>
      <c r="F16" s="23">
        <v>43820</v>
      </c>
      <c r="G16" s="2" t="str">
        <f>TEXT(Table1[[#This Row],[Hire Date  ]],"yyyy")</f>
        <v>2019</v>
      </c>
      <c r="H16" s="7">
        <v>80385</v>
      </c>
      <c r="I16" s="28">
        <v>68</v>
      </c>
      <c r="J16" s="4">
        <f t="shared" ca="1" si="0"/>
        <v>6</v>
      </c>
      <c r="K16" s="6" t="str" cm="1">
        <f t="array" ref="K16">_xlfn.IFS(I16&lt;=49,"Needs Improvement",I16&lt;=69,"Developing",I16&lt;=84,"Achieving",I16&lt;=94,"Exceeding",I16&lt;=100,"Outstanding")</f>
        <v>Developing</v>
      </c>
      <c r="L16" s="6">
        <f>_xlfn.XLOOKUP(K16,Lookup_Performance!$C$2:$C$6,Lookup_Performance!$D$2:$D$6,"N/A",0)</f>
        <v>0.02</v>
      </c>
      <c r="M16" s="30">
        <f t="shared" si="1"/>
        <v>1607.7</v>
      </c>
      <c r="N16" s="26" t="s">
        <v>18</v>
      </c>
      <c r="O16" t="str">
        <f>TRIM(CLEAN(Table1[[#This Row],[Employment Status]]))</f>
        <v>Active</v>
      </c>
    </row>
    <row r="17" spans="2:15" x14ac:dyDescent="0.25">
      <c r="B17" t="s">
        <v>24</v>
      </c>
      <c r="C17" s="26" t="s">
        <v>212</v>
      </c>
      <c r="D17" t="s">
        <v>17</v>
      </c>
      <c r="E17" s="26" t="str">
        <f>_xlfn.XLOOKUP(D17,Lookup_Departments!$A$2:$A$7,Lookup_Departments!$B$2:$B$7,"Invalid Dept_Code",0)</f>
        <v>Sales</v>
      </c>
      <c r="F17" s="23">
        <v>45169</v>
      </c>
      <c r="G17" s="2" t="str">
        <f>TEXT(Table1[[#This Row],[Hire Date  ]],"yyyy")</f>
        <v>2023</v>
      </c>
      <c r="H17" s="7">
        <v>65290</v>
      </c>
      <c r="I17" s="28">
        <v>77</v>
      </c>
      <c r="J17" s="4">
        <f t="shared" ca="1" si="0"/>
        <v>2</v>
      </c>
      <c r="K17" s="6" t="str" cm="1">
        <f t="array" ref="K17">_xlfn.IFS(I17&lt;=49,"Needs Improvement",I17&lt;=69,"Developing",I17&lt;=84,"Achieving",I17&lt;=94,"Exceeding",I17&lt;=100,"Outstanding")</f>
        <v>Achieving</v>
      </c>
      <c r="L17" s="6">
        <f>_xlfn.XLOOKUP(K17,Lookup_Performance!$C$2:$C$6,Lookup_Performance!$D$2:$D$6,"N/A",0)</f>
        <v>0.05</v>
      </c>
      <c r="M17" s="30">
        <f t="shared" si="1"/>
        <v>3264.5</v>
      </c>
      <c r="N17" s="26" t="s">
        <v>18</v>
      </c>
      <c r="O17" t="str">
        <f>TRIM(CLEAN(Table1[[#This Row],[Employment Status]]))</f>
        <v>Active</v>
      </c>
    </row>
    <row r="18" spans="2:15" x14ac:dyDescent="0.25">
      <c r="B18" t="s">
        <v>25</v>
      </c>
      <c r="C18" s="26" t="s">
        <v>213</v>
      </c>
      <c r="D18" t="s">
        <v>3</v>
      </c>
      <c r="E18" s="26" t="str">
        <f>_xlfn.XLOOKUP(D18,Lookup_Departments!$A$2:$A$7,Lookup_Departments!$B$2:$B$7,"Invalid Dept_Code",0)</f>
        <v>Information Technology</v>
      </c>
      <c r="F18" s="23">
        <v>42337</v>
      </c>
      <c r="G18" s="2" t="str">
        <f>TEXT(Table1[[#This Row],[Hire Date  ]],"yyyy")</f>
        <v>2015</v>
      </c>
      <c r="H18" s="7">
        <v>105765</v>
      </c>
      <c r="I18" s="28">
        <v>42</v>
      </c>
      <c r="J18" s="4">
        <f t="shared" ca="1" si="0"/>
        <v>10</v>
      </c>
      <c r="K18" s="6" t="str" cm="1">
        <f t="array" ref="K18">_xlfn.IFS(I18&lt;=49,"Needs Improvement",I18&lt;=69,"Developing",I18&lt;=84,"Achieving",I18&lt;=94,"Exceeding",I18&lt;=100,"Outstanding")</f>
        <v>Needs Improvement</v>
      </c>
      <c r="L18" s="6">
        <f>_xlfn.XLOOKUP(K18,Lookup_Performance!$C$2:$C$6,Lookup_Performance!$D$2:$D$6,"N/A",0)</f>
        <v>0</v>
      </c>
      <c r="M18" s="30">
        <f t="shared" si="1"/>
        <v>0</v>
      </c>
      <c r="N18" s="26" t="s">
        <v>18</v>
      </c>
      <c r="O18" t="str">
        <f>TRIM(CLEAN(Table1[[#This Row],[Employment Status]]))</f>
        <v>Active</v>
      </c>
    </row>
    <row r="19" spans="2:15" x14ac:dyDescent="0.25">
      <c r="B19" t="s">
        <v>26</v>
      </c>
      <c r="C19" s="26" t="s">
        <v>214</v>
      </c>
      <c r="D19" t="s">
        <v>17</v>
      </c>
      <c r="E19" s="26" t="str">
        <f>_xlfn.XLOOKUP(D19,Lookup_Departments!$A$2:$A$7,Lookup_Departments!$B$2:$B$7,"Invalid Dept_Code",0)</f>
        <v>Sales</v>
      </c>
      <c r="F19" s="23">
        <v>42899</v>
      </c>
      <c r="G19" s="2" t="str">
        <f>TEXT(Table1[[#This Row],[Hire Date  ]],"yyyy")</f>
        <v>2017</v>
      </c>
      <c r="H19" s="7">
        <v>102921</v>
      </c>
      <c r="I19" s="28">
        <v>49</v>
      </c>
      <c r="J19" s="4">
        <f t="shared" ca="1" si="0"/>
        <v>9</v>
      </c>
      <c r="K19" s="6" t="str" cm="1">
        <f t="array" ref="K19">_xlfn.IFS(I19&lt;=49,"Needs Improvement",I19&lt;=69,"Developing",I19&lt;=84,"Achieving",I19&lt;=94,"Exceeding",I19&lt;=100,"Outstanding")</f>
        <v>Needs Improvement</v>
      </c>
      <c r="L19" s="6">
        <f>_xlfn.XLOOKUP(K19,Lookup_Performance!$C$2:$C$6,Lookup_Performance!$D$2:$D$6,"N/A",0)</f>
        <v>0</v>
      </c>
      <c r="M19" s="30">
        <f t="shared" si="1"/>
        <v>0</v>
      </c>
      <c r="N19" s="26" t="s">
        <v>18</v>
      </c>
      <c r="O19" t="str">
        <f>TRIM(CLEAN(Table1[[#This Row],[Employment Status]]))</f>
        <v>Active</v>
      </c>
    </row>
    <row r="20" spans="2:15" x14ac:dyDescent="0.25">
      <c r="B20" t="s">
        <v>27</v>
      </c>
      <c r="C20" s="26" t="s">
        <v>215</v>
      </c>
      <c r="D20" t="s">
        <v>5</v>
      </c>
      <c r="E20" s="26" t="str">
        <f>_xlfn.XLOOKUP(D20,Lookup_Departments!$A$2:$A$7,Lookup_Departments!$B$2:$B$7,"Invalid Dept_Code",0)</f>
        <v>Marketing</v>
      </c>
      <c r="F20" s="23">
        <v>43235</v>
      </c>
      <c r="G20" s="2" t="str">
        <f>TEXT(Table1[[#This Row],[Hire Date  ]],"yyyy")</f>
        <v>2018</v>
      </c>
      <c r="H20" s="7">
        <v>73984</v>
      </c>
      <c r="I20" s="28">
        <v>93</v>
      </c>
      <c r="J20" s="4">
        <f t="shared" ca="1" si="0"/>
        <v>8</v>
      </c>
      <c r="K20" s="6" t="str" cm="1">
        <f t="array" ref="K20">_xlfn.IFS(I20&lt;=49,"Needs Improvement",I20&lt;=69,"Developing",I20&lt;=84,"Achieving",I20&lt;=94,"Exceeding",I20&lt;=100,"Outstanding")</f>
        <v>Exceeding</v>
      </c>
      <c r="L20" s="6">
        <f>_xlfn.XLOOKUP(K20,Lookup_Performance!$C$2:$C$6,Lookup_Performance!$D$2:$D$6,"N/A",0)</f>
        <v>0.08</v>
      </c>
      <c r="M20" s="30">
        <f t="shared" si="1"/>
        <v>5918.72</v>
      </c>
      <c r="N20" s="26" t="s">
        <v>18</v>
      </c>
      <c r="O20" t="str">
        <f>TRIM(CLEAN(Table1[[#This Row],[Employment Status]]))</f>
        <v>Active</v>
      </c>
    </row>
    <row r="21" spans="2:15" x14ac:dyDescent="0.25">
      <c r="B21" t="s">
        <v>28</v>
      </c>
      <c r="C21" s="26" t="s">
        <v>216</v>
      </c>
      <c r="D21" t="s">
        <v>3</v>
      </c>
      <c r="E21" s="26" t="str">
        <f>_xlfn.XLOOKUP(D21,Lookup_Departments!$A$2:$A$7,Lookup_Departments!$B$2:$B$7,"Invalid Dept_Code",0)</f>
        <v>Information Technology</v>
      </c>
      <c r="F21" s="23">
        <v>42575</v>
      </c>
      <c r="G21" s="2" t="str">
        <f>TEXT(Table1[[#This Row],[Hire Date  ]],"yyyy")</f>
        <v>2016</v>
      </c>
      <c r="H21" s="7">
        <v>74560</v>
      </c>
      <c r="I21" s="28">
        <v>75</v>
      </c>
      <c r="J21" s="4">
        <f t="shared" ca="1" si="0"/>
        <v>9</v>
      </c>
      <c r="K21" s="6" t="str" cm="1">
        <f t="array" ref="K21">_xlfn.IFS(I21&lt;=49,"Needs Improvement",I21&lt;=69,"Developing",I21&lt;=84,"Achieving",I21&lt;=94,"Exceeding",I21&lt;=100,"Outstanding")</f>
        <v>Achieving</v>
      </c>
      <c r="L21" s="6">
        <f>_xlfn.XLOOKUP(K21,Lookup_Performance!$C$2:$C$6,Lookup_Performance!$D$2:$D$6,"N/A",0)</f>
        <v>0.05</v>
      </c>
      <c r="M21" s="30">
        <f t="shared" si="1"/>
        <v>3728</v>
      </c>
      <c r="N21" s="26" t="s">
        <v>18</v>
      </c>
      <c r="O21" t="str">
        <f>TRIM(CLEAN(Table1[[#This Row],[Employment Status]]))</f>
        <v>Active</v>
      </c>
    </row>
    <row r="22" spans="2:15" x14ac:dyDescent="0.25">
      <c r="B22" t="s">
        <v>29</v>
      </c>
      <c r="C22" s="26" t="s">
        <v>217</v>
      </c>
      <c r="D22" t="s">
        <v>8</v>
      </c>
      <c r="E22" s="26" t="str">
        <f>_xlfn.XLOOKUP(D22,Lookup_Departments!$A$2:$A$7,Lookup_Departments!$B$2:$B$7,"Invalid Dept_Code",0)</f>
        <v>Finance</v>
      </c>
      <c r="F22" s="23">
        <v>43076</v>
      </c>
      <c r="G22" s="2" t="str">
        <f>TEXT(Table1[[#This Row],[Hire Date  ]],"yyyy")</f>
        <v>2017</v>
      </c>
      <c r="H22" s="7">
        <v>118527</v>
      </c>
      <c r="I22" s="28">
        <v>50</v>
      </c>
      <c r="J22" s="4">
        <f t="shared" ca="1" si="0"/>
        <v>8</v>
      </c>
      <c r="K22" s="6" t="str" cm="1">
        <f t="array" ref="K22">_xlfn.IFS(I22&lt;=49,"Needs Improvement",I22&lt;=69,"Developing",I22&lt;=84,"Achieving",I22&lt;=94,"Exceeding",I22&lt;=100,"Outstanding")</f>
        <v>Developing</v>
      </c>
      <c r="L22" s="6">
        <f>_xlfn.XLOOKUP(K22,Lookup_Performance!$C$2:$C$6,Lookup_Performance!$D$2:$D$6,"N/A",0)</f>
        <v>0.02</v>
      </c>
      <c r="M22" s="30">
        <f t="shared" si="1"/>
        <v>2370.54</v>
      </c>
      <c r="N22" s="26" t="s">
        <v>18</v>
      </c>
      <c r="O22" t="str">
        <f>TRIM(CLEAN(Table1[[#This Row],[Employment Status]]))</f>
        <v>Active</v>
      </c>
    </row>
    <row r="23" spans="2:15" x14ac:dyDescent="0.25">
      <c r="B23" t="s">
        <v>30</v>
      </c>
      <c r="C23" s="26" t="s">
        <v>198</v>
      </c>
      <c r="D23" t="s">
        <v>5</v>
      </c>
      <c r="E23" s="26" t="str">
        <f>_xlfn.XLOOKUP(D23,Lookup_Departments!$A$2:$A$7,Lookup_Departments!$B$2:$B$7,"Invalid Dept_Code",0)</f>
        <v>Marketing</v>
      </c>
      <c r="F23" s="23">
        <v>44353</v>
      </c>
      <c r="G23" s="2" t="str">
        <f>TEXT(Table1[[#This Row],[Hire Date  ]],"yyyy")</f>
        <v>2021</v>
      </c>
      <c r="H23" s="7">
        <v>107871</v>
      </c>
      <c r="I23" s="28">
        <v>88</v>
      </c>
      <c r="J23" s="4">
        <f t="shared" ca="1" si="0"/>
        <v>5</v>
      </c>
      <c r="K23" s="6" t="str" cm="1">
        <f t="array" ref="K23">_xlfn.IFS(I23&lt;=49,"Needs Improvement",I23&lt;=69,"Developing",I23&lt;=84,"Achieving",I23&lt;=94,"Exceeding",I23&lt;=100,"Outstanding")</f>
        <v>Exceeding</v>
      </c>
      <c r="L23" s="6">
        <f>_xlfn.XLOOKUP(K23,Lookup_Performance!$C$2:$C$6,Lookup_Performance!$D$2:$D$6,"N/A",0)</f>
        <v>0.08</v>
      </c>
      <c r="M23" s="30">
        <f t="shared" si="1"/>
        <v>8629.68</v>
      </c>
      <c r="N23" s="26" t="s">
        <v>18</v>
      </c>
      <c r="O23" t="str">
        <f>TRIM(CLEAN(Table1[[#This Row],[Employment Status]]))</f>
        <v>Active</v>
      </c>
    </row>
    <row r="24" spans="2:15" x14ac:dyDescent="0.25">
      <c r="B24" t="s">
        <v>31</v>
      </c>
      <c r="C24" s="26" t="s">
        <v>218</v>
      </c>
      <c r="D24" t="s">
        <v>3</v>
      </c>
      <c r="E24" s="26" t="str">
        <f>_xlfn.XLOOKUP(D24,Lookup_Departments!$A$2:$A$7,Lookup_Departments!$B$2:$B$7,"Invalid Dept_Code",0)</f>
        <v>Information Technology</v>
      </c>
      <c r="F24" s="23">
        <v>44815</v>
      </c>
      <c r="G24" s="2" t="str">
        <f>TEXT(Table1[[#This Row],[Hire Date  ]],"yyyy")</f>
        <v>2022</v>
      </c>
      <c r="H24" s="7">
        <v>93956</v>
      </c>
      <c r="I24" s="28">
        <v>50</v>
      </c>
      <c r="J24" s="4">
        <f t="shared" ca="1" si="0"/>
        <v>3</v>
      </c>
      <c r="K24" s="6" t="str" cm="1">
        <f t="array" ref="K24">_xlfn.IFS(I24&lt;=49,"Needs Improvement",I24&lt;=69,"Developing",I24&lt;=84,"Achieving",I24&lt;=94,"Exceeding",I24&lt;=100,"Outstanding")</f>
        <v>Developing</v>
      </c>
      <c r="L24" s="6">
        <f>_xlfn.XLOOKUP(K24,Lookup_Performance!$C$2:$C$6,Lookup_Performance!$D$2:$D$6,"N/A",0)</f>
        <v>0.02</v>
      </c>
      <c r="M24" s="30">
        <f t="shared" si="1"/>
        <v>1879.1200000000001</v>
      </c>
      <c r="N24" s="26" t="s">
        <v>10</v>
      </c>
      <c r="O24" t="str">
        <f>TRIM(CLEAN(Table1[[#This Row],[Employment Status]]))</f>
        <v>Left</v>
      </c>
    </row>
    <row r="25" spans="2:15" x14ac:dyDescent="0.25">
      <c r="B25" t="s">
        <v>32</v>
      </c>
      <c r="C25" s="26" t="s">
        <v>219</v>
      </c>
      <c r="D25" t="s">
        <v>8</v>
      </c>
      <c r="E25" s="26" t="str">
        <f>_xlfn.XLOOKUP(D25,Lookup_Departments!$A$2:$A$7,Lookup_Departments!$B$2:$B$7,"Invalid Dept_Code",0)</f>
        <v>Finance</v>
      </c>
      <c r="F25" s="23">
        <v>42565</v>
      </c>
      <c r="G25" s="2" t="str">
        <f>TEXT(Table1[[#This Row],[Hire Date  ]],"yyyy")</f>
        <v>2016</v>
      </c>
      <c r="H25" s="7">
        <v>100851</v>
      </c>
      <c r="I25" s="28">
        <v>64</v>
      </c>
      <c r="J25" s="4">
        <f t="shared" ca="1" si="0"/>
        <v>9</v>
      </c>
      <c r="K25" s="6" t="str" cm="1">
        <f t="array" ref="K25">_xlfn.IFS(I25&lt;=49,"Needs Improvement",I25&lt;=69,"Developing",I25&lt;=84,"Achieving",I25&lt;=94,"Exceeding",I25&lt;=100,"Outstanding")</f>
        <v>Developing</v>
      </c>
      <c r="L25" s="6">
        <f>_xlfn.XLOOKUP(K25,Lookup_Performance!$C$2:$C$6,Lookup_Performance!$D$2:$D$6,"N/A",0)</f>
        <v>0.02</v>
      </c>
      <c r="M25" s="30">
        <f t="shared" si="1"/>
        <v>2017.02</v>
      </c>
      <c r="N25" s="26" t="s">
        <v>18</v>
      </c>
      <c r="O25" t="str">
        <f>TRIM(CLEAN(Table1[[#This Row],[Employment Status]]))</f>
        <v>Active</v>
      </c>
    </row>
    <row r="26" spans="2:15" x14ac:dyDescent="0.25">
      <c r="B26" t="s">
        <v>33</v>
      </c>
      <c r="C26" s="26" t="s">
        <v>220</v>
      </c>
      <c r="D26" t="s">
        <v>17</v>
      </c>
      <c r="E26" s="26" t="str">
        <f>_xlfn.XLOOKUP(D26,Lookup_Departments!$A$2:$A$7,Lookup_Departments!$B$2:$B$7,"Invalid Dept_Code",0)</f>
        <v>Sales</v>
      </c>
      <c r="F26" s="23">
        <v>44728</v>
      </c>
      <c r="G26" s="2" t="str">
        <f>TEXT(Table1[[#This Row],[Hire Date  ]],"yyyy")</f>
        <v>2022</v>
      </c>
      <c r="H26" s="7">
        <v>68655</v>
      </c>
      <c r="I26" s="28">
        <v>32</v>
      </c>
      <c r="J26" s="4">
        <f t="shared" ca="1" si="0"/>
        <v>4</v>
      </c>
      <c r="K26" s="6" t="str" cm="1">
        <f t="array" ref="K26">_xlfn.IFS(I26&lt;=49,"Needs Improvement",I26&lt;=69,"Developing",I26&lt;=84,"Achieving",I26&lt;=94,"Exceeding",I26&lt;=100,"Outstanding")</f>
        <v>Needs Improvement</v>
      </c>
      <c r="L26" s="6">
        <f>_xlfn.XLOOKUP(K26,Lookup_Performance!$C$2:$C$6,Lookup_Performance!$D$2:$D$6,"N/A",0)</f>
        <v>0</v>
      </c>
      <c r="M26" s="30">
        <f t="shared" si="1"/>
        <v>0</v>
      </c>
      <c r="N26" s="26" t="s">
        <v>18</v>
      </c>
      <c r="O26" t="str">
        <f>TRIM(CLEAN(Table1[[#This Row],[Employment Status]]))</f>
        <v>Active</v>
      </c>
    </row>
    <row r="27" spans="2:15" x14ac:dyDescent="0.25">
      <c r="B27" t="s">
        <v>34</v>
      </c>
      <c r="C27" s="26" t="s">
        <v>221</v>
      </c>
      <c r="D27" t="s">
        <v>17</v>
      </c>
      <c r="E27" s="26" t="str">
        <f>_xlfn.XLOOKUP(D27,Lookup_Departments!$A$2:$A$7,Lookup_Departments!$B$2:$B$7,"Invalid Dept_Code",0)</f>
        <v>Sales</v>
      </c>
      <c r="F27" s="23">
        <v>45134</v>
      </c>
      <c r="G27" s="2" t="str">
        <f>TEXT(Table1[[#This Row],[Hire Date  ]],"yyyy")</f>
        <v>2023</v>
      </c>
      <c r="H27" s="7">
        <v>81205</v>
      </c>
      <c r="I27" s="28">
        <v>59</v>
      </c>
      <c r="J27" s="4">
        <f t="shared" ca="1" si="0"/>
        <v>2</v>
      </c>
      <c r="K27" s="6" t="str" cm="1">
        <f t="array" ref="K27">_xlfn.IFS(I27&lt;=49,"Needs Improvement",I27&lt;=69,"Developing",I27&lt;=84,"Achieving",I27&lt;=94,"Exceeding",I27&lt;=100,"Outstanding")</f>
        <v>Developing</v>
      </c>
      <c r="L27" s="6">
        <f>_xlfn.XLOOKUP(K27,Lookup_Performance!$C$2:$C$6,Lookup_Performance!$D$2:$D$6,"N/A",0)</f>
        <v>0.02</v>
      </c>
      <c r="M27" s="30">
        <f t="shared" si="1"/>
        <v>1624.1000000000001</v>
      </c>
      <c r="N27" s="26" t="s">
        <v>18</v>
      </c>
      <c r="O27" t="str">
        <f>TRIM(CLEAN(Table1[[#This Row],[Employment Status]]))</f>
        <v>Active</v>
      </c>
    </row>
    <row r="28" spans="2:15" x14ac:dyDescent="0.25">
      <c r="B28" t="s">
        <v>35</v>
      </c>
      <c r="C28" s="26" t="s">
        <v>203</v>
      </c>
      <c r="D28" t="s">
        <v>17</v>
      </c>
      <c r="E28" s="26" t="str">
        <f>_xlfn.XLOOKUP(D28,Lookup_Departments!$A$2:$A$7,Lookup_Departments!$B$2:$B$7,"Invalid Dept_Code",0)</f>
        <v>Sales</v>
      </c>
      <c r="F28" s="23">
        <v>43732</v>
      </c>
      <c r="G28" s="2" t="str">
        <f>TEXT(Table1[[#This Row],[Hire Date  ]],"yyyy")</f>
        <v>2019</v>
      </c>
      <c r="H28" s="7">
        <v>77610</v>
      </c>
      <c r="I28" s="28">
        <v>88</v>
      </c>
      <c r="J28" s="4">
        <f t="shared" ca="1" si="0"/>
        <v>6</v>
      </c>
      <c r="K28" s="6" t="str" cm="1">
        <f t="array" ref="K28">_xlfn.IFS(I28&lt;=49,"Needs Improvement",I28&lt;=69,"Developing",I28&lt;=84,"Achieving",I28&lt;=94,"Exceeding",I28&lt;=100,"Outstanding")</f>
        <v>Exceeding</v>
      </c>
      <c r="L28" s="6">
        <f>_xlfn.XLOOKUP(K28,Lookup_Performance!$C$2:$C$6,Lookup_Performance!$D$2:$D$6,"N/A",0)</f>
        <v>0.08</v>
      </c>
      <c r="M28" s="30">
        <f t="shared" si="1"/>
        <v>6208.8</v>
      </c>
      <c r="N28" s="26" t="s">
        <v>18</v>
      </c>
      <c r="O28" t="str">
        <f>TRIM(CLEAN(Table1[[#This Row],[Employment Status]]))</f>
        <v>Active</v>
      </c>
    </row>
    <row r="29" spans="2:15" x14ac:dyDescent="0.25">
      <c r="B29" t="s">
        <v>36</v>
      </c>
      <c r="C29" s="26" t="s">
        <v>212</v>
      </c>
      <c r="D29" t="s">
        <v>3</v>
      </c>
      <c r="E29" s="26" t="str">
        <f>_xlfn.XLOOKUP(D29,Lookup_Departments!$A$2:$A$7,Lookup_Departments!$B$2:$B$7,"Invalid Dept_Code",0)</f>
        <v>Information Technology</v>
      </c>
      <c r="F29" s="23">
        <v>44765</v>
      </c>
      <c r="G29" s="2" t="str">
        <f>TEXT(Table1[[#This Row],[Hire Date  ]],"yyyy")</f>
        <v>2022</v>
      </c>
      <c r="H29" s="7">
        <v>50873</v>
      </c>
      <c r="I29" s="28">
        <v>90</v>
      </c>
      <c r="J29" s="4">
        <f t="shared" ca="1" si="0"/>
        <v>3</v>
      </c>
      <c r="K29" s="6" t="str" cm="1">
        <f t="array" ref="K29">_xlfn.IFS(I29&lt;=49,"Needs Improvement",I29&lt;=69,"Developing",I29&lt;=84,"Achieving",I29&lt;=94,"Exceeding",I29&lt;=100,"Outstanding")</f>
        <v>Exceeding</v>
      </c>
      <c r="L29" s="6">
        <f>_xlfn.XLOOKUP(K29,Lookup_Performance!$C$2:$C$6,Lookup_Performance!$D$2:$D$6,"N/A",0)</f>
        <v>0.08</v>
      </c>
      <c r="M29" s="30">
        <f t="shared" si="1"/>
        <v>4069.84</v>
      </c>
      <c r="N29" s="26" t="s">
        <v>18</v>
      </c>
      <c r="O29" t="str">
        <f>TRIM(CLEAN(Table1[[#This Row],[Employment Status]]))</f>
        <v>Active</v>
      </c>
    </row>
    <row r="30" spans="2:15" x14ac:dyDescent="0.25">
      <c r="B30" t="s">
        <v>37</v>
      </c>
      <c r="C30" s="26" t="s">
        <v>222</v>
      </c>
      <c r="D30" t="s">
        <v>8</v>
      </c>
      <c r="E30" s="26" t="str">
        <f>_xlfn.XLOOKUP(D30,Lookup_Departments!$A$2:$A$7,Lookup_Departments!$B$2:$B$7,"Invalid Dept_Code",0)</f>
        <v>Finance</v>
      </c>
      <c r="F30" s="23">
        <v>43233</v>
      </c>
      <c r="G30" s="2" t="str">
        <f>TEXT(Table1[[#This Row],[Hire Date  ]],"yyyy")</f>
        <v>2018</v>
      </c>
      <c r="H30" s="7">
        <v>85312</v>
      </c>
      <c r="I30" s="28">
        <v>66</v>
      </c>
      <c r="J30" s="4">
        <f t="shared" ca="1" si="0"/>
        <v>8</v>
      </c>
      <c r="K30" s="6" t="str" cm="1">
        <f t="array" ref="K30">_xlfn.IFS(I30&lt;=49,"Needs Improvement",I30&lt;=69,"Developing",I30&lt;=84,"Achieving",I30&lt;=94,"Exceeding",I30&lt;=100,"Outstanding")</f>
        <v>Developing</v>
      </c>
      <c r="L30" s="6">
        <f>_xlfn.XLOOKUP(K30,Lookup_Performance!$C$2:$C$6,Lookup_Performance!$D$2:$D$6,"N/A",0)</f>
        <v>0.02</v>
      </c>
      <c r="M30" s="30">
        <f t="shared" si="1"/>
        <v>1706.24</v>
      </c>
      <c r="N30" s="26" t="s">
        <v>18</v>
      </c>
      <c r="O30" t="str">
        <f>TRIM(CLEAN(Table1[[#This Row],[Employment Status]]))</f>
        <v>Active</v>
      </c>
    </row>
    <row r="31" spans="2:15" x14ac:dyDescent="0.25">
      <c r="B31" t="s">
        <v>38</v>
      </c>
      <c r="C31" s="26" t="s">
        <v>223</v>
      </c>
      <c r="D31" t="s">
        <v>17</v>
      </c>
      <c r="E31" s="26" t="str">
        <f>_xlfn.XLOOKUP(D31,Lookup_Departments!$A$2:$A$7,Lookup_Departments!$B$2:$B$7,"Invalid Dept_Code",0)</f>
        <v>Sales</v>
      </c>
      <c r="F31" s="23">
        <v>42202</v>
      </c>
      <c r="G31" s="2" t="str">
        <f>TEXT(Table1[[#This Row],[Hire Date  ]],"yyyy")</f>
        <v>2015</v>
      </c>
      <c r="H31" s="7">
        <v>80907</v>
      </c>
      <c r="I31" s="28">
        <v>68</v>
      </c>
      <c r="J31" s="4">
        <f t="shared" ca="1" si="0"/>
        <v>10</v>
      </c>
      <c r="K31" s="6" t="str" cm="1">
        <f t="array" ref="K31">_xlfn.IFS(I31&lt;=49,"Needs Improvement",I31&lt;=69,"Developing",I31&lt;=84,"Achieving",I31&lt;=94,"Exceeding",I31&lt;=100,"Outstanding")</f>
        <v>Developing</v>
      </c>
      <c r="L31" s="6">
        <f>_xlfn.XLOOKUP(K31,Lookup_Performance!$C$2:$C$6,Lookup_Performance!$D$2:$D$6,"N/A",0)</f>
        <v>0.02</v>
      </c>
      <c r="M31" s="30">
        <f t="shared" si="1"/>
        <v>1618.14</v>
      </c>
      <c r="N31" s="26" t="s">
        <v>18</v>
      </c>
      <c r="O31" t="str">
        <f>TRIM(CLEAN(Table1[[#This Row],[Employment Status]]))</f>
        <v>Active</v>
      </c>
    </row>
    <row r="32" spans="2:15" x14ac:dyDescent="0.25">
      <c r="B32" t="s">
        <v>39</v>
      </c>
      <c r="C32" s="26" t="s">
        <v>224</v>
      </c>
      <c r="D32" t="s">
        <v>12</v>
      </c>
      <c r="E32" s="26" t="str">
        <f>_xlfn.XLOOKUP(D32,Lookup_Departments!$A$2:$A$7,Lookup_Departments!$B$2:$B$7,"Invalid Dept_Code",0)</f>
        <v>Operations</v>
      </c>
      <c r="F32" s="23">
        <v>42221</v>
      </c>
      <c r="G32" s="2" t="str">
        <f>TEXT(Table1[[#This Row],[Hire Date  ]],"yyyy")</f>
        <v>2015</v>
      </c>
      <c r="H32" s="7">
        <v>97055</v>
      </c>
      <c r="I32" s="28">
        <v>80</v>
      </c>
      <c r="J32" s="4">
        <f t="shared" ca="1" si="0"/>
        <v>10</v>
      </c>
      <c r="K32" s="6" t="str" cm="1">
        <f t="array" ref="K32">_xlfn.IFS(I32&lt;=49,"Needs Improvement",I32&lt;=69,"Developing",I32&lt;=84,"Achieving",I32&lt;=94,"Exceeding",I32&lt;=100,"Outstanding")</f>
        <v>Achieving</v>
      </c>
      <c r="L32" s="6">
        <f>_xlfn.XLOOKUP(K32,Lookup_Performance!$C$2:$C$6,Lookup_Performance!$D$2:$D$6,"N/A",0)</f>
        <v>0.05</v>
      </c>
      <c r="M32" s="30">
        <f t="shared" si="1"/>
        <v>4852.75</v>
      </c>
      <c r="N32" s="26" t="s">
        <v>18</v>
      </c>
      <c r="O32" t="str">
        <f>TRIM(CLEAN(Table1[[#This Row],[Employment Status]]))</f>
        <v>Active</v>
      </c>
    </row>
    <row r="33" spans="2:15" x14ac:dyDescent="0.25">
      <c r="B33" t="s">
        <v>40</v>
      </c>
      <c r="C33" s="26" t="s">
        <v>225</v>
      </c>
      <c r="D33" t="s">
        <v>3</v>
      </c>
      <c r="E33" s="26" t="str">
        <f>_xlfn.XLOOKUP(D33,Lookup_Departments!$A$2:$A$7,Lookup_Departments!$B$2:$B$7,"Invalid Dept_Code",0)</f>
        <v>Information Technology</v>
      </c>
      <c r="F33" s="23">
        <v>45195</v>
      </c>
      <c r="G33" s="2" t="str">
        <f>TEXT(Table1[[#This Row],[Hire Date  ]],"yyyy")</f>
        <v>2023</v>
      </c>
      <c r="H33" s="7">
        <v>66069</v>
      </c>
      <c r="I33" s="28">
        <v>72</v>
      </c>
      <c r="J33" s="4">
        <f t="shared" ca="1" si="0"/>
        <v>2</v>
      </c>
      <c r="K33" s="6" t="str" cm="1">
        <f t="array" ref="K33">_xlfn.IFS(I33&lt;=49,"Needs Improvement",I33&lt;=69,"Developing",I33&lt;=84,"Achieving",I33&lt;=94,"Exceeding",I33&lt;=100,"Outstanding")</f>
        <v>Achieving</v>
      </c>
      <c r="L33" s="6">
        <f>_xlfn.XLOOKUP(K33,Lookup_Performance!$C$2:$C$6,Lookup_Performance!$D$2:$D$6,"N/A",0)</f>
        <v>0.05</v>
      </c>
      <c r="M33" s="30">
        <f t="shared" si="1"/>
        <v>3303.4500000000003</v>
      </c>
      <c r="N33" s="26" t="s">
        <v>18</v>
      </c>
      <c r="O33" t="str">
        <f>TRIM(CLEAN(Table1[[#This Row],[Employment Status]]))</f>
        <v>Active</v>
      </c>
    </row>
    <row r="34" spans="2:15" x14ac:dyDescent="0.25">
      <c r="B34" t="s">
        <v>41</v>
      </c>
      <c r="C34" s="26" t="s">
        <v>226</v>
      </c>
      <c r="D34" t="s">
        <v>3</v>
      </c>
      <c r="E34" s="26" t="str">
        <f>_xlfn.XLOOKUP(D34,Lookup_Departments!$A$2:$A$7,Lookup_Departments!$B$2:$B$7,"Invalid Dept_Code",0)</f>
        <v>Information Technology</v>
      </c>
      <c r="F34" s="23">
        <v>43626</v>
      </c>
      <c r="G34" s="2" t="str">
        <f>TEXT(Table1[[#This Row],[Hire Date  ]],"yyyy")</f>
        <v>2019</v>
      </c>
      <c r="H34" s="7">
        <v>90157</v>
      </c>
      <c r="I34" s="28">
        <v>58</v>
      </c>
      <c r="J34" s="4">
        <f t="shared" ref="J34:J65" ca="1" si="2">DATEDIF(F34,TODAY(),"Y")</f>
        <v>7</v>
      </c>
      <c r="K34" s="6" t="str" cm="1">
        <f t="array" ref="K34">_xlfn.IFS(I34&lt;=49,"Needs Improvement",I34&lt;=69,"Developing",I34&lt;=84,"Achieving",I34&lt;=94,"Exceeding",I34&lt;=100,"Outstanding")</f>
        <v>Developing</v>
      </c>
      <c r="L34" s="6">
        <f>_xlfn.XLOOKUP(K34,Lookup_Performance!$C$2:$C$6,Lookup_Performance!$D$2:$D$6,"N/A",0)</f>
        <v>0.02</v>
      </c>
      <c r="M34" s="30">
        <f t="shared" si="1"/>
        <v>1803.14</v>
      </c>
      <c r="N34" s="26" t="s">
        <v>18</v>
      </c>
      <c r="O34" t="str">
        <f>TRIM(CLEAN(Table1[[#This Row],[Employment Status]]))</f>
        <v>Active</v>
      </c>
    </row>
    <row r="35" spans="2:15" x14ac:dyDescent="0.25">
      <c r="B35" t="s">
        <v>42</v>
      </c>
      <c r="C35" s="26" t="s">
        <v>227</v>
      </c>
      <c r="D35" t="s">
        <v>43</v>
      </c>
      <c r="E35" s="26" t="str">
        <f>_xlfn.XLOOKUP(D35,Lookup_Departments!$A$2:$A$7,Lookup_Departments!$B$2:$B$7,"Invalid Dept_Code",0)</f>
        <v>Human Resources</v>
      </c>
      <c r="F35" s="23">
        <v>44578</v>
      </c>
      <c r="G35" s="2" t="str">
        <f>TEXT(Table1[[#This Row],[Hire Date  ]],"yyyy")</f>
        <v>2022</v>
      </c>
      <c r="H35" s="7">
        <v>59899</v>
      </c>
      <c r="I35" s="28">
        <v>78</v>
      </c>
      <c r="J35" s="4">
        <f t="shared" ca="1" si="2"/>
        <v>4</v>
      </c>
      <c r="K35" s="6" t="str" cm="1">
        <f t="array" ref="K35">_xlfn.IFS(I35&lt;=49,"Needs Improvement",I35&lt;=69,"Developing",I35&lt;=84,"Achieving",I35&lt;=94,"Exceeding",I35&lt;=100,"Outstanding")</f>
        <v>Achieving</v>
      </c>
      <c r="L35" s="6">
        <f>_xlfn.XLOOKUP(K35,Lookup_Performance!$C$2:$C$6,Lookup_Performance!$D$2:$D$6,"N/A",0)</f>
        <v>0.05</v>
      </c>
      <c r="M35" s="30">
        <f t="shared" si="1"/>
        <v>2994.9500000000003</v>
      </c>
      <c r="N35" s="26" t="s">
        <v>18</v>
      </c>
      <c r="O35" t="str">
        <f>TRIM(CLEAN(Table1[[#This Row],[Employment Status]]))</f>
        <v>Active</v>
      </c>
    </row>
    <row r="36" spans="2:15" x14ac:dyDescent="0.25">
      <c r="B36" t="s">
        <v>44</v>
      </c>
      <c r="C36" s="26" t="s">
        <v>228</v>
      </c>
      <c r="D36" t="s">
        <v>8</v>
      </c>
      <c r="E36" s="26" t="str">
        <f>_xlfn.XLOOKUP(D36,Lookup_Departments!$A$2:$A$7,Lookup_Departments!$B$2:$B$7,"Invalid Dept_Code",0)</f>
        <v>Finance</v>
      </c>
      <c r="F36" s="23">
        <v>42919</v>
      </c>
      <c r="G36" s="2" t="str">
        <f>TEXT(Table1[[#This Row],[Hire Date  ]],"yyyy")</f>
        <v>2017</v>
      </c>
      <c r="H36" s="7">
        <v>113389</v>
      </c>
      <c r="I36" s="28">
        <v>30</v>
      </c>
      <c r="J36" s="4">
        <f t="shared" ca="1" si="2"/>
        <v>9</v>
      </c>
      <c r="K36" s="6" t="str" cm="1">
        <f t="array" ref="K36">_xlfn.IFS(I36&lt;=49,"Needs Improvement",I36&lt;=69,"Developing",I36&lt;=84,"Achieving",I36&lt;=94,"Exceeding",I36&lt;=100,"Outstanding")</f>
        <v>Needs Improvement</v>
      </c>
      <c r="L36" s="6">
        <f>_xlfn.XLOOKUP(K36,Lookup_Performance!$C$2:$C$6,Lookup_Performance!$D$2:$D$6,"N/A",0)</f>
        <v>0</v>
      </c>
      <c r="M36" s="30">
        <f t="shared" si="1"/>
        <v>0</v>
      </c>
      <c r="N36" s="26" t="s">
        <v>18</v>
      </c>
      <c r="O36" t="str">
        <f>TRIM(CLEAN(Table1[[#This Row],[Employment Status]]))</f>
        <v>Active</v>
      </c>
    </row>
    <row r="37" spans="2:15" x14ac:dyDescent="0.25">
      <c r="B37" t="s">
        <v>45</v>
      </c>
      <c r="C37" s="26" t="s">
        <v>229</v>
      </c>
      <c r="D37" t="s">
        <v>3</v>
      </c>
      <c r="E37" s="26" t="str">
        <f>_xlfn.XLOOKUP(D37,Lookup_Departments!$A$2:$A$7,Lookup_Departments!$B$2:$B$7,"Invalid Dept_Code",0)</f>
        <v>Information Technology</v>
      </c>
      <c r="F37" s="23">
        <v>42248</v>
      </c>
      <c r="G37" s="2" t="str">
        <f>TEXT(Table1[[#This Row],[Hire Date  ]],"yyyy")</f>
        <v>2015</v>
      </c>
      <c r="H37" s="7">
        <v>102691</v>
      </c>
      <c r="I37" s="28">
        <v>52</v>
      </c>
      <c r="J37" s="4">
        <f t="shared" ca="1" si="2"/>
        <v>10</v>
      </c>
      <c r="K37" s="6" t="str" cm="1">
        <f t="array" ref="K37">_xlfn.IFS(I37&lt;=49,"Needs Improvement",I37&lt;=69,"Developing",I37&lt;=84,"Achieving",I37&lt;=94,"Exceeding",I37&lt;=100,"Outstanding")</f>
        <v>Developing</v>
      </c>
      <c r="L37" s="6">
        <f>_xlfn.XLOOKUP(K37,Lookup_Performance!$C$2:$C$6,Lookup_Performance!$D$2:$D$6,"N/A",0)</f>
        <v>0.02</v>
      </c>
      <c r="M37" s="30">
        <f t="shared" si="1"/>
        <v>2053.8200000000002</v>
      </c>
      <c r="N37" s="26" t="s">
        <v>18</v>
      </c>
      <c r="O37" t="str">
        <f>TRIM(CLEAN(Table1[[#This Row],[Employment Status]]))</f>
        <v>Active</v>
      </c>
    </row>
    <row r="38" spans="2:15" x14ac:dyDescent="0.25">
      <c r="B38" t="s">
        <v>46</v>
      </c>
      <c r="C38" s="26" t="s">
        <v>203</v>
      </c>
      <c r="D38" t="s">
        <v>12</v>
      </c>
      <c r="E38" s="26" t="str">
        <f>_xlfn.XLOOKUP(D38,Lookup_Departments!$A$2:$A$7,Lookup_Departments!$B$2:$B$7,"Invalid Dept_Code",0)</f>
        <v>Operations</v>
      </c>
      <c r="F38" s="23">
        <v>44776</v>
      </c>
      <c r="G38" s="2" t="str">
        <f>TEXT(Table1[[#This Row],[Hire Date  ]],"yyyy")</f>
        <v>2022</v>
      </c>
      <c r="H38" s="7">
        <v>111845</v>
      </c>
      <c r="I38" s="28">
        <v>98</v>
      </c>
      <c r="J38" s="4">
        <f t="shared" ca="1" si="2"/>
        <v>3</v>
      </c>
      <c r="K38" s="6" t="str" cm="1">
        <f t="array" ref="K38">_xlfn.IFS(I38&lt;=49,"Needs Improvement",I38&lt;=69,"Developing",I38&lt;=84,"Achieving",I38&lt;=94,"Exceeding",I38&lt;=100,"Outstanding")</f>
        <v>Outstanding</v>
      </c>
      <c r="L38" s="6">
        <f>_xlfn.XLOOKUP(K38,Lookup_Performance!$C$2:$C$6,Lookup_Performance!$D$2:$D$6,"N/A",0)</f>
        <v>0.12</v>
      </c>
      <c r="M38" s="30">
        <f t="shared" si="1"/>
        <v>13421.4</v>
      </c>
      <c r="N38" s="26" t="s">
        <v>18</v>
      </c>
      <c r="O38" t="str">
        <f>TRIM(CLEAN(Table1[[#This Row],[Employment Status]]))</f>
        <v>Active</v>
      </c>
    </row>
    <row r="39" spans="2:15" x14ac:dyDescent="0.25">
      <c r="B39" t="s">
        <v>47</v>
      </c>
      <c r="C39" s="26" t="s">
        <v>230</v>
      </c>
      <c r="D39" t="s">
        <v>17</v>
      </c>
      <c r="E39" s="26" t="str">
        <f>_xlfn.XLOOKUP(D39,Lookup_Departments!$A$2:$A$7,Lookup_Departments!$B$2:$B$7,"Invalid Dept_Code",0)</f>
        <v>Sales</v>
      </c>
      <c r="F39" s="23" t="s">
        <v>48</v>
      </c>
      <c r="G39" s="2" t="str">
        <f>TEXT(Table1[[#This Row],[Hire Date  ]],"yyyy")</f>
        <v>2022</v>
      </c>
      <c r="H39" s="7">
        <v>69219</v>
      </c>
      <c r="I39" s="28">
        <v>93</v>
      </c>
      <c r="J39" s="4">
        <f t="shared" ca="1" si="2"/>
        <v>4</v>
      </c>
      <c r="K39" s="6" t="str" cm="1">
        <f t="array" ref="K39">_xlfn.IFS(I39&lt;=49,"Needs Improvement",I39&lt;=69,"Developing",I39&lt;=84,"Achieving",I39&lt;=94,"Exceeding",I39&lt;=100,"Outstanding")</f>
        <v>Exceeding</v>
      </c>
      <c r="L39" s="6">
        <f>_xlfn.XLOOKUP(K39,Lookup_Performance!$C$2:$C$6,Lookup_Performance!$D$2:$D$6,"N/A",0)</f>
        <v>0.08</v>
      </c>
      <c r="M39" s="30">
        <f t="shared" si="1"/>
        <v>5537.52</v>
      </c>
      <c r="N39" s="26" t="s">
        <v>18</v>
      </c>
      <c r="O39" t="str">
        <f>TRIM(CLEAN(Table1[[#This Row],[Employment Status]]))</f>
        <v>Active</v>
      </c>
    </row>
    <row r="40" spans="2:15" x14ac:dyDescent="0.25">
      <c r="B40" t="s">
        <v>49</v>
      </c>
      <c r="C40" s="26" t="s">
        <v>231</v>
      </c>
      <c r="D40" t="s">
        <v>8</v>
      </c>
      <c r="E40" s="26" t="str">
        <f>_xlfn.XLOOKUP(D40,Lookup_Departments!$A$2:$A$7,Lookup_Departments!$B$2:$B$7,"Invalid Dept_Code",0)</f>
        <v>Finance</v>
      </c>
      <c r="F40" s="23">
        <v>43949</v>
      </c>
      <c r="G40" s="2" t="str">
        <f>TEXT(Table1[[#This Row],[Hire Date  ]],"yyyy")</f>
        <v>2020</v>
      </c>
      <c r="H40" s="7">
        <v>95315</v>
      </c>
      <c r="I40" s="28">
        <v>80</v>
      </c>
      <c r="J40" s="4">
        <f t="shared" ca="1" si="2"/>
        <v>6</v>
      </c>
      <c r="K40" s="6" t="str" cm="1">
        <f t="array" ref="K40">_xlfn.IFS(I40&lt;=49,"Needs Improvement",I40&lt;=69,"Developing",I40&lt;=84,"Achieving",I40&lt;=94,"Exceeding",I40&lt;=100,"Outstanding")</f>
        <v>Achieving</v>
      </c>
      <c r="L40" s="6">
        <f>_xlfn.XLOOKUP(K40,Lookup_Performance!$C$2:$C$6,Lookup_Performance!$D$2:$D$6,"N/A",0)</f>
        <v>0.05</v>
      </c>
      <c r="M40" s="30">
        <f t="shared" si="1"/>
        <v>4765.75</v>
      </c>
      <c r="N40" s="26" t="s">
        <v>10</v>
      </c>
      <c r="O40" t="str">
        <f>TRIM(CLEAN(Table1[[#This Row],[Employment Status]]))</f>
        <v>Left</v>
      </c>
    </row>
    <row r="41" spans="2:15" x14ac:dyDescent="0.25">
      <c r="B41" t="s">
        <v>50</v>
      </c>
      <c r="C41" s="26" t="s">
        <v>232</v>
      </c>
      <c r="D41" t="s">
        <v>12</v>
      </c>
      <c r="E41" s="26" t="str">
        <f>_xlfn.XLOOKUP(D41,Lookup_Departments!$A$2:$A$7,Lookup_Departments!$B$2:$B$7,"Invalid Dept_Code",0)</f>
        <v>Operations</v>
      </c>
      <c r="F41" s="23" t="s">
        <v>51</v>
      </c>
      <c r="G41" s="2" t="str">
        <f>TEXT(Table1[[#This Row],[Hire Date  ]],"yyyy")</f>
        <v>2017</v>
      </c>
      <c r="H41" s="7">
        <v>57514</v>
      </c>
      <c r="I41" s="28">
        <v>68</v>
      </c>
      <c r="J41" s="4">
        <f t="shared" ca="1" si="2"/>
        <v>8</v>
      </c>
      <c r="K41" s="6" t="str" cm="1">
        <f t="array" ref="K41">_xlfn.IFS(I41&lt;=49,"Needs Improvement",I41&lt;=69,"Developing",I41&lt;=84,"Achieving",I41&lt;=94,"Exceeding",I41&lt;=100,"Outstanding")</f>
        <v>Developing</v>
      </c>
      <c r="L41" s="6">
        <f>_xlfn.XLOOKUP(K41,Lookup_Performance!$C$2:$C$6,Lookup_Performance!$D$2:$D$6,"N/A",0)</f>
        <v>0.02</v>
      </c>
      <c r="M41" s="30">
        <f t="shared" si="1"/>
        <v>1150.28</v>
      </c>
      <c r="N41" s="26" t="s">
        <v>18</v>
      </c>
      <c r="O41" t="str">
        <f>TRIM(CLEAN(Table1[[#This Row],[Employment Status]]))</f>
        <v>Active</v>
      </c>
    </row>
    <row r="42" spans="2:15" x14ac:dyDescent="0.25">
      <c r="B42" t="s">
        <v>52</v>
      </c>
      <c r="C42" s="26" t="s">
        <v>233</v>
      </c>
      <c r="D42" t="s">
        <v>17</v>
      </c>
      <c r="E42" s="26" t="str">
        <f>_xlfn.XLOOKUP(D42,Lookup_Departments!$A$2:$A$7,Lookup_Departments!$B$2:$B$7,"Invalid Dept_Code",0)</f>
        <v>Sales</v>
      </c>
      <c r="F42" s="23">
        <v>43181</v>
      </c>
      <c r="G42" s="2" t="str">
        <f>TEXT(Table1[[#This Row],[Hire Date  ]],"yyyy")</f>
        <v>2018</v>
      </c>
      <c r="H42" s="7">
        <v>86245</v>
      </c>
      <c r="I42" s="28">
        <v>71</v>
      </c>
      <c r="J42" s="4">
        <f t="shared" ca="1" si="2"/>
        <v>8</v>
      </c>
      <c r="K42" s="6" t="str" cm="1">
        <f t="array" ref="K42">_xlfn.IFS(I42&lt;=49,"Needs Improvement",I42&lt;=69,"Developing",I42&lt;=84,"Achieving",I42&lt;=94,"Exceeding",I42&lt;=100,"Outstanding")</f>
        <v>Achieving</v>
      </c>
      <c r="L42" s="6">
        <f>_xlfn.XLOOKUP(K42,Lookup_Performance!$C$2:$C$6,Lookup_Performance!$D$2:$D$6,"N/A",0)</f>
        <v>0.05</v>
      </c>
      <c r="M42" s="30">
        <f t="shared" si="1"/>
        <v>4312.25</v>
      </c>
      <c r="N42" s="26" t="s">
        <v>10</v>
      </c>
      <c r="O42" t="str">
        <f>TRIM(CLEAN(Table1[[#This Row],[Employment Status]]))</f>
        <v>Left</v>
      </c>
    </row>
    <row r="43" spans="2:15" x14ac:dyDescent="0.25">
      <c r="B43" t="s">
        <v>53</v>
      </c>
      <c r="C43" s="26" t="s">
        <v>234</v>
      </c>
      <c r="D43" t="s">
        <v>17</v>
      </c>
      <c r="E43" s="26" t="str">
        <f>_xlfn.XLOOKUP(D43,Lookup_Departments!$A$2:$A$7,Lookup_Departments!$B$2:$B$7,"Invalid Dept_Code",0)</f>
        <v>Sales</v>
      </c>
      <c r="F43" s="23">
        <v>43958</v>
      </c>
      <c r="G43" s="2" t="str">
        <f>TEXT(Table1[[#This Row],[Hire Date  ]],"yyyy")</f>
        <v>2020</v>
      </c>
      <c r="H43" s="7">
        <v>52407</v>
      </c>
      <c r="I43" s="28">
        <v>55</v>
      </c>
      <c r="J43" s="4">
        <f t="shared" ca="1" si="2"/>
        <v>6</v>
      </c>
      <c r="K43" s="6" t="str" cm="1">
        <f t="array" ref="K43">_xlfn.IFS(I43&lt;=49,"Needs Improvement",I43&lt;=69,"Developing",I43&lt;=84,"Achieving",I43&lt;=94,"Exceeding",I43&lt;=100,"Outstanding")</f>
        <v>Developing</v>
      </c>
      <c r="L43" s="6">
        <f>_xlfn.XLOOKUP(K43,Lookup_Performance!$C$2:$C$6,Lookup_Performance!$D$2:$D$6,"N/A",0)</f>
        <v>0.02</v>
      </c>
      <c r="M43" s="30">
        <f t="shared" si="1"/>
        <v>1048.1400000000001</v>
      </c>
      <c r="N43" s="26" t="s">
        <v>18</v>
      </c>
      <c r="O43" t="str">
        <f>TRIM(CLEAN(Table1[[#This Row],[Employment Status]]))</f>
        <v>Active</v>
      </c>
    </row>
    <row r="44" spans="2:15" x14ac:dyDescent="0.25">
      <c r="B44" t="s">
        <v>54</v>
      </c>
      <c r="C44" s="26" t="s">
        <v>235</v>
      </c>
      <c r="D44" t="s">
        <v>12</v>
      </c>
      <c r="E44" s="26" t="str">
        <f>_xlfn.XLOOKUP(D44,Lookup_Departments!$A$2:$A$7,Lookup_Departments!$B$2:$B$7,"Invalid Dept_Code",0)</f>
        <v>Operations</v>
      </c>
      <c r="F44" s="23">
        <v>43549</v>
      </c>
      <c r="G44" s="2" t="str">
        <f>TEXT(Table1[[#This Row],[Hire Date  ]],"yyyy")</f>
        <v>2019</v>
      </c>
      <c r="H44" s="7">
        <v>66606</v>
      </c>
      <c r="I44" s="28">
        <v>93</v>
      </c>
      <c r="J44" s="4">
        <f t="shared" ca="1" si="2"/>
        <v>7</v>
      </c>
      <c r="K44" s="6" t="str" cm="1">
        <f t="array" ref="K44">_xlfn.IFS(I44&lt;=49,"Needs Improvement",I44&lt;=69,"Developing",I44&lt;=84,"Achieving",I44&lt;=94,"Exceeding",I44&lt;=100,"Outstanding")</f>
        <v>Exceeding</v>
      </c>
      <c r="L44" s="6">
        <f>_xlfn.XLOOKUP(K44,Lookup_Performance!$C$2:$C$6,Lookup_Performance!$D$2:$D$6,"N/A",0)</f>
        <v>0.08</v>
      </c>
      <c r="M44" s="30">
        <f t="shared" si="1"/>
        <v>5328.4800000000005</v>
      </c>
      <c r="N44" s="26" t="s">
        <v>55</v>
      </c>
      <c r="O44" t="str">
        <f>TRIM(CLEAN(Table1[[#This Row],[Employment Status]]))</f>
        <v>Resigned</v>
      </c>
    </row>
    <row r="45" spans="2:15" x14ac:dyDescent="0.25">
      <c r="B45" t="s">
        <v>56</v>
      </c>
      <c r="C45" s="26" t="s">
        <v>236</v>
      </c>
      <c r="D45" t="s">
        <v>3</v>
      </c>
      <c r="E45" s="26" t="str">
        <f>_xlfn.XLOOKUP(D45,Lookup_Departments!$A$2:$A$7,Lookup_Departments!$B$2:$B$7,"Invalid Dept_Code",0)</f>
        <v>Information Technology</v>
      </c>
      <c r="F45" s="23">
        <v>43686</v>
      </c>
      <c r="G45" s="2" t="str">
        <f>TEXT(Table1[[#This Row],[Hire Date  ]],"yyyy")</f>
        <v>2019</v>
      </c>
      <c r="H45" s="7">
        <v>81896</v>
      </c>
      <c r="I45" s="28">
        <v>79</v>
      </c>
      <c r="J45" s="4">
        <f t="shared" ca="1" si="2"/>
        <v>6</v>
      </c>
      <c r="K45" s="6" t="str" cm="1">
        <f t="array" ref="K45">_xlfn.IFS(I45&lt;=49,"Needs Improvement",I45&lt;=69,"Developing",I45&lt;=84,"Achieving",I45&lt;=94,"Exceeding",I45&lt;=100,"Outstanding")</f>
        <v>Achieving</v>
      </c>
      <c r="L45" s="6">
        <f>_xlfn.XLOOKUP(K45,Lookup_Performance!$C$2:$C$6,Lookup_Performance!$D$2:$D$6,"N/A",0)</f>
        <v>0.05</v>
      </c>
      <c r="M45" s="30">
        <f t="shared" si="1"/>
        <v>4094.8</v>
      </c>
      <c r="N45" s="26" t="s">
        <v>55</v>
      </c>
      <c r="O45" t="str">
        <f>TRIM(CLEAN(Table1[[#This Row],[Employment Status]]))</f>
        <v>Resigned</v>
      </c>
    </row>
    <row r="46" spans="2:15" x14ac:dyDescent="0.25">
      <c r="B46" t="s">
        <v>57</v>
      </c>
      <c r="C46" s="26" t="s">
        <v>237</v>
      </c>
      <c r="D46" t="s">
        <v>17</v>
      </c>
      <c r="E46" s="26" t="str">
        <f>_xlfn.XLOOKUP(D46,Lookup_Departments!$A$2:$A$7,Lookup_Departments!$B$2:$B$7,"Invalid Dept_Code",0)</f>
        <v>Sales</v>
      </c>
      <c r="F46" s="23" t="s">
        <v>58</v>
      </c>
      <c r="G46" s="2" t="str">
        <f>TEXT(Table1[[#This Row],[Hire Date  ]],"yyyy")</f>
        <v>2016</v>
      </c>
      <c r="H46" s="7">
        <v>78402</v>
      </c>
      <c r="I46" s="28">
        <v>54</v>
      </c>
      <c r="J46" s="4">
        <f t="shared" ca="1" si="2"/>
        <v>9</v>
      </c>
      <c r="K46" s="6" t="str" cm="1">
        <f t="array" ref="K46">_xlfn.IFS(I46&lt;=49,"Needs Improvement",I46&lt;=69,"Developing",I46&lt;=84,"Achieving",I46&lt;=94,"Exceeding",I46&lt;=100,"Outstanding")</f>
        <v>Developing</v>
      </c>
      <c r="L46" s="6">
        <f>_xlfn.XLOOKUP(K46,Lookup_Performance!$C$2:$C$6,Lookup_Performance!$D$2:$D$6,"N/A",0)</f>
        <v>0.02</v>
      </c>
      <c r="M46" s="30">
        <f t="shared" si="1"/>
        <v>1568.04</v>
      </c>
      <c r="N46" s="26" t="s">
        <v>18</v>
      </c>
      <c r="O46" t="str">
        <f>TRIM(CLEAN(Table1[[#This Row],[Employment Status]]))</f>
        <v>Active</v>
      </c>
    </row>
    <row r="47" spans="2:15" x14ac:dyDescent="0.25">
      <c r="B47" t="s">
        <v>59</v>
      </c>
      <c r="C47" s="26" t="s">
        <v>238</v>
      </c>
      <c r="D47" t="s">
        <v>12</v>
      </c>
      <c r="E47" s="26" t="str">
        <f>_xlfn.XLOOKUP(D47,Lookup_Departments!$A$2:$A$7,Lookup_Departments!$B$2:$B$7,"Invalid Dept_Code",0)</f>
        <v>Operations</v>
      </c>
      <c r="F47" s="23">
        <v>42647</v>
      </c>
      <c r="G47" s="2" t="str">
        <f>TEXT(Table1[[#This Row],[Hire Date  ]],"yyyy")</f>
        <v>2016</v>
      </c>
      <c r="H47" s="7">
        <v>105498</v>
      </c>
      <c r="I47" s="28">
        <v>76</v>
      </c>
      <c r="J47" s="4">
        <f t="shared" ca="1" si="2"/>
        <v>9</v>
      </c>
      <c r="K47" s="6" t="str" cm="1">
        <f t="array" ref="K47">_xlfn.IFS(I47&lt;=49,"Needs Improvement",I47&lt;=69,"Developing",I47&lt;=84,"Achieving",I47&lt;=94,"Exceeding",I47&lt;=100,"Outstanding")</f>
        <v>Achieving</v>
      </c>
      <c r="L47" s="6">
        <f>_xlfn.XLOOKUP(K47,Lookup_Performance!$C$2:$C$6,Lookup_Performance!$D$2:$D$6,"N/A",0)</f>
        <v>0.05</v>
      </c>
      <c r="M47" s="30">
        <f t="shared" si="1"/>
        <v>5274.9000000000005</v>
      </c>
      <c r="N47" s="26" t="s">
        <v>18</v>
      </c>
      <c r="O47" t="str">
        <f>TRIM(CLEAN(Table1[[#This Row],[Employment Status]]))</f>
        <v>Active</v>
      </c>
    </row>
    <row r="48" spans="2:15" x14ac:dyDescent="0.25">
      <c r="B48" t="s">
        <v>60</v>
      </c>
      <c r="C48" s="26" t="s">
        <v>239</v>
      </c>
      <c r="D48" t="s">
        <v>5</v>
      </c>
      <c r="E48" s="26" t="str">
        <f>_xlfn.XLOOKUP(D48,Lookup_Departments!$A$2:$A$7,Lookup_Departments!$B$2:$B$7,"Invalid Dept_Code",0)</f>
        <v>Marketing</v>
      </c>
      <c r="F48" s="23">
        <v>43656</v>
      </c>
      <c r="G48" s="2" t="str">
        <f>TEXT(Table1[[#This Row],[Hire Date  ]],"yyyy")</f>
        <v>2019</v>
      </c>
      <c r="H48" s="7">
        <v>91749</v>
      </c>
      <c r="I48" s="28">
        <v>72</v>
      </c>
      <c r="J48" s="4">
        <f t="shared" ca="1" si="2"/>
        <v>7</v>
      </c>
      <c r="K48" s="6" t="str" cm="1">
        <f t="array" ref="K48">_xlfn.IFS(I48&lt;=49,"Needs Improvement",I48&lt;=69,"Developing",I48&lt;=84,"Achieving",I48&lt;=94,"Exceeding",I48&lt;=100,"Outstanding")</f>
        <v>Achieving</v>
      </c>
      <c r="L48" s="6">
        <f>_xlfn.XLOOKUP(K48,Lookup_Performance!$C$2:$C$6,Lookup_Performance!$D$2:$D$6,"N/A",0)</f>
        <v>0.05</v>
      </c>
      <c r="M48" s="30">
        <f t="shared" si="1"/>
        <v>4587.45</v>
      </c>
      <c r="N48" s="26" t="s">
        <v>10</v>
      </c>
      <c r="O48" t="str">
        <f>TRIM(CLEAN(Table1[[#This Row],[Employment Status]]))</f>
        <v>Left</v>
      </c>
    </row>
    <row r="49" spans="2:15" x14ac:dyDescent="0.25">
      <c r="B49" t="s">
        <v>61</v>
      </c>
      <c r="C49" s="26" t="s">
        <v>240</v>
      </c>
      <c r="D49" t="s">
        <v>12</v>
      </c>
      <c r="E49" s="26" t="str">
        <f>_xlfn.XLOOKUP(D49,Lookup_Departments!$A$2:$A$7,Lookup_Departments!$B$2:$B$7,"Invalid Dept_Code",0)</f>
        <v>Operations</v>
      </c>
      <c r="F49" s="23">
        <v>44437</v>
      </c>
      <c r="G49" s="2" t="str">
        <f>TEXT(Table1[[#This Row],[Hire Date  ]],"yyyy")</f>
        <v>2021</v>
      </c>
      <c r="H49" s="7">
        <v>99935</v>
      </c>
      <c r="I49" s="28">
        <v>84</v>
      </c>
      <c r="J49" s="4">
        <f t="shared" ca="1" si="2"/>
        <v>4</v>
      </c>
      <c r="K49" s="6" t="str" cm="1">
        <f t="array" ref="K49">_xlfn.IFS(I49&lt;=49,"Needs Improvement",I49&lt;=69,"Developing",I49&lt;=84,"Achieving",I49&lt;=94,"Exceeding",I49&lt;=100,"Outstanding")</f>
        <v>Achieving</v>
      </c>
      <c r="L49" s="6">
        <f>_xlfn.XLOOKUP(K49,Lookup_Performance!$C$2:$C$6,Lookup_Performance!$D$2:$D$6,"N/A",0)</f>
        <v>0.05</v>
      </c>
      <c r="M49" s="30">
        <f t="shared" si="1"/>
        <v>4996.75</v>
      </c>
      <c r="N49" s="26" t="s">
        <v>55</v>
      </c>
      <c r="O49" t="str">
        <f>TRIM(CLEAN(Table1[[#This Row],[Employment Status]]))</f>
        <v>Resigned</v>
      </c>
    </row>
    <row r="50" spans="2:15" x14ac:dyDescent="0.25">
      <c r="B50" t="s">
        <v>62</v>
      </c>
      <c r="C50" s="26" t="s">
        <v>241</v>
      </c>
      <c r="D50" t="s">
        <v>3</v>
      </c>
      <c r="E50" s="26" t="str">
        <f>_xlfn.XLOOKUP(D50,Lookup_Departments!$A$2:$A$7,Lookup_Departments!$B$2:$B$7,"Invalid Dept_Code",0)</f>
        <v>Information Technology</v>
      </c>
      <c r="F50" s="23">
        <v>42761</v>
      </c>
      <c r="G50" s="2" t="str">
        <f>TEXT(Table1[[#This Row],[Hire Date  ]],"yyyy")</f>
        <v>2017</v>
      </c>
      <c r="H50" s="7">
        <v>83531</v>
      </c>
      <c r="I50" s="28">
        <v>30</v>
      </c>
      <c r="J50" s="4">
        <f t="shared" ca="1" si="2"/>
        <v>9</v>
      </c>
      <c r="K50" s="6" t="str" cm="1">
        <f t="array" ref="K50">_xlfn.IFS(I50&lt;=49,"Needs Improvement",I50&lt;=69,"Developing",I50&lt;=84,"Achieving",I50&lt;=94,"Exceeding",I50&lt;=100,"Outstanding")</f>
        <v>Needs Improvement</v>
      </c>
      <c r="L50" s="6">
        <f>_xlfn.XLOOKUP(K50,Lookup_Performance!$C$2:$C$6,Lookup_Performance!$D$2:$D$6,"N/A",0)</f>
        <v>0</v>
      </c>
      <c r="M50" s="30">
        <f t="shared" si="1"/>
        <v>0</v>
      </c>
      <c r="N50" s="26" t="s">
        <v>10</v>
      </c>
      <c r="O50" t="str">
        <f>TRIM(CLEAN(Table1[[#This Row],[Employment Status]]))</f>
        <v>Left</v>
      </c>
    </row>
    <row r="51" spans="2:15" x14ac:dyDescent="0.25">
      <c r="B51" t="s">
        <v>63</v>
      </c>
      <c r="C51" s="26" t="s">
        <v>242</v>
      </c>
      <c r="D51" t="s">
        <v>5</v>
      </c>
      <c r="E51" s="26" t="str">
        <f>_xlfn.XLOOKUP(D51,Lookup_Departments!$A$2:$A$7,Lookup_Departments!$B$2:$B$7,"Invalid Dept_Code",0)</f>
        <v>Marketing</v>
      </c>
      <c r="F51" s="23">
        <v>43981</v>
      </c>
      <c r="G51" s="2" t="str">
        <f>TEXT(Table1[[#This Row],[Hire Date  ]],"yyyy")</f>
        <v>2020</v>
      </c>
      <c r="H51" s="7">
        <v>75023</v>
      </c>
      <c r="I51" s="28">
        <v>68</v>
      </c>
      <c r="J51" s="4">
        <f t="shared" ca="1" si="2"/>
        <v>6</v>
      </c>
      <c r="K51" s="6" t="str" cm="1">
        <f t="array" ref="K51">_xlfn.IFS(I51&lt;=49,"Needs Improvement",I51&lt;=69,"Developing",I51&lt;=84,"Achieving",I51&lt;=94,"Exceeding",I51&lt;=100,"Outstanding")</f>
        <v>Developing</v>
      </c>
      <c r="L51" s="6">
        <f>_xlfn.XLOOKUP(K51,Lookup_Performance!$C$2:$C$6,Lookup_Performance!$D$2:$D$6,"N/A",0)</f>
        <v>0.02</v>
      </c>
      <c r="M51" s="30">
        <f t="shared" si="1"/>
        <v>1500.46</v>
      </c>
      <c r="N51" s="26" t="s">
        <v>18</v>
      </c>
      <c r="O51" t="str">
        <f>TRIM(CLEAN(Table1[[#This Row],[Employment Status]]))</f>
        <v>Active</v>
      </c>
    </row>
    <row r="52" spans="2:15" x14ac:dyDescent="0.25">
      <c r="B52" t="s">
        <v>64</v>
      </c>
      <c r="C52" s="26" t="s">
        <v>243</v>
      </c>
      <c r="D52" t="s">
        <v>43</v>
      </c>
      <c r="E52" s="26" t="str">
        <f>_xlfn.XLOOKUP(D52,Lookup_Departments!$A$2:$A$7,Lookup_Departments!$B$2:$B$7,"Invalid Dept_Code",0)</f>
        <v>Human Resources</v>
      </c>
      <c r="F52" s="23">
        <v>44612</v>
      </c>
      <c r="G52" s="2" t="str">
        <f>TEXT(Table1[[#This Row],[Hire Date  ]],"yyyy")</f>
        <v>2022</v>
      </c>
      <c r="H52" s="7">
        <v>93290</v>
      </c>
      <c r="I52" s="28">
        <v>53</v>
      </c>
      <c r="J52" s="4">
        <f t="shared" ca="1" si="2"/>
        <v>4</v>
      </c>
      <c r="K52" s="6" t="str" cm="1">
        <f t="array" ref="K52">_xlfn.IFS(I52&lt;=49,"Needs Improvement",I52&lt;=69,"Developing",I52&lt;=84,"Achieving",I52&lt;=94,"Exceeding",I52&lt;=100,"Outstanding")</f>
        <v>Developing</v>
      </c>
      <c r="L52" s="6">
        <f>_xlfn.XLOOKUP(K52,Lookup_Performance!$C$2:$C$6,Lookup_Performance!$D$2:$D$6,"N/A",0)</f>
        <v>0.02</v>
      </c>
      <c r="M52" s="30">
        <f t="shared" si="1"/>
        <v>1865.8</v>
      </c>
      <c r="N52" s="26" t="s">
        <v>18</v>
      </c>
      <c r="O52" t="str">
        <f>TRIM(CLEAN(Table1[[#This Row],[Employment Status]]))</f>
        <v>Active</v>
      </c>
    </row>
    <row r="53" spans="2:15" x14ac:dyDescent="0.25">
      <c r="B53" t="s">
        <v>65</v>
      </c>
      <c r="C53" s="26" t="s">
        <v>244</v>
      </c>
      <c r="D53" t="s">
        <v>12</v>
      </c>
      <c r="E53" s="26" t="str">
        <f>_xlfn.XLOOKUP(D53,Lookup_Departments!$A$2:$A$7,Lookup_Departments!$B$2:$B$7,"Invalid Dept_Code",0)</f>
        <v>Operations</v>
      </c>
      <c r="F53" s="23">
        <v>42628</v>
      </c>
      <c r="G53" s="2" t="str">
        <f>TEXT(Table1[[#This Row],[Hire Date  ]],"yyyy")</f>
        <v>2016</v>
      </c>
      <c r="H53" s="7">
        <v>115527</v>
      </c>
      <c r="I53" s="28">
        <v>63</v>
      </c>
      <c r="J53" s="4">
        <f t="shared" ca="1" si="2"/>
        <v>9</v>
      </c>
      <c r="K53" s="6" t="str" cm="1">
        <f t="array" ref="K53">_xlfn.IFS(I53&lt;=49,"Needs Improvement",I53&lt;=69,"Developing",I53&lt;=84,"Achieving",I53&lt;=94,"Exceeding",I53&lt;=100,"Outstanding")</f>
        <v>Developing</v>
      </c>
      <c r="L53" s="6">
        <f>_xlfn.XLOOKUP(K53,Lookup_Performance!$C$2:$C$6,Lookup_Performance!$D$2:$D$6,"N/A",0)</f>
        <v>0.02</v>
      </c>
      <c r="M53" s="30">
        <f t="shared" si="1"/>
        <v>2310.54</v>
      </c>
      <c r="N53" s="26" t="s">
        <v>55</v>
      </c>
      <c r="O53" t="str">
        <f>TRIM(CLEAN(Table1[[#This Row],[Employment Status]]))</f>
        <v>Resigned</v>
      </c>
    </row>
    <row r="54" spans="2:15" x14ac:dyDescent="0.25">
      <c r="B54" t="s">
        <v>66</v>
      </c>
      <c r="C54" s="26" t="s">
        <v>212</v>
      </c>
      <c r="D54" t="s">
        <v>8</v>
      </c>
      <c r="E54" s="26" t="str">
        <f>_xlfn.XLOOKUP(D54,Lookup_Departments!$A$2:$A$7,Lookup_Departments!$B$2:$B$7,"Invalid Dept_Code",0)</f>
        <v>Finance</v>
      </c>
      <c r="F54" s="23" t="s">
        <v>67</v>
      </c>
      <c r="G54" s="2" t="str">
        <f>TEXT(Table1[[#This Row],[Hire Date  ]],"yyyy")</f>
        <v>2019</v>
      </c>
      <c r="H54" s="7">
        <v>55920</v>
      </c>
      <c r="I54" s="28">
        <v>84</v>
      </c>
      <c r="J54" s="4">
        <f t="shared" ca="1" si="2"/>
        <v>6</v>
      </c>
      <c r="K54" s="6" t="str" cm="1">
        <f t="array" ref="K54">_xlfn.IFS(I54&lt;=49,"Needs Improvement",I54&lt;=69,"Developing",I54&lt;=84,"Achieving",I54&lt;=94,"Exceeding",I54&lt;=100,"Outstanding")</f>
        <v>Achieving</v>
      </c>
      <c r="L54" s="6">
        <f>_xlfn.XLOOKUP(K54,Lookup_Performance!$C$2:$C$6,Lookup_Performance!$D$2:$D$6,"N/A",0)</f>
        <v>0.05</v>
      </c>
      <c r="M54" s="30">
        <f t="shared" si="1"/>
        <v>2796</v>
      </c>
      <c r="N54" s="26" t="s">
        <v>18</v>
      </c>
      <c r="O54" t="str">
        <f>TRIM(CLEAN(Table1[[#This Row],[Employment Status]]))</f>
        <v>Active</v>
      </c>
    </row>
    <row r="55" spans="2:15" x14ac:dyDescent="0.25">
      <c r="B55" t="s">
        <v>68</v>
      </c>
      <c r="C55" s="26" t="s">
        <v>202</v>
      </c>
      <c r="D55" t="s">
        <v>17</v>
      </c>
      <c r="E55" s="26" t="str">
        <f>_xlfn.XLOOKUP(D55,Lookup_Departments!$A$2:$A$7,Lookup_Departments!$B$2:$B$7,"Invalid Dept_Code",0)</f>
        <v>Sales</v>
      </c>
      <c r="F55" s="23">
        <v>43464</v>
      </c>
      <c r="G55" s="2" t="str">
        <f>TEXT(Table1[[#This Row],[Hire Date  ]],"yyyy")</f>
        <v>2018</v>
      </c>
      <c r="H55" s="7">
        <v>80189</v>
      </c>
      <c r="I55" s="28">
        <v>30</v>
      </c>
      <c r="J55" s="4">
        <f t="shared" ca="1" si="2"/>
        <v>7</v>
      </c>
      <c r="K55" s="6" t="str" cm="1">
        <f t="array" ref="K55">_xlfn.IFS(I55&lt;=49,"Needs Improvement",I55&lt;=69,"Developing",I55&lt;=84,"Achieving",I55&lt;=94,"Exceeding",I55&lt;=100,"Outstanding")</f>
        <v>Needs Improvement</v>
      </c>
      <c r="L55" s="6">
        <f>_xlfn.XLOOKUP(K55,Lookup_Performance!$C$2:$C$6,Lookup_Performance!$D$2:$D$6,"N/A",0)</f>
        <v>0</v>
      </c>
      <c r="M55" s="30">
        <f t="shared" si="1"/>
        <v>0</v>
      </c>
      <c r="N55" s="26" t="s">
        <v>18</v>
      </c>
      <c r="O55" t="str">
        <f>TRIM(CLEAN(Table1[[#This Row],[Employment Status]]))</f>
        <v>Active</v>
      </c>
    </row>
    <row r="56" spans="2:15" x14ac:dyDescent="0.25">
      <c r="B56" t="s">
        <v>69</v>
      </c>
      <c r="C56" s="26" t="s">
        <v>245</v>
      </c>
      <c r="D56" t="s">
        <v>43</v>
      </c>
      <c r="E56" s="26" t="str">
        <f>_xlfn.XLOOKUP(D56,Lookup_Departments!$A$2:$A$7,Lookup_Departments!$B$2:$B$7,"Invalid Dept_Code",0)</f>
        <v>Human Resources</v>
      </c>
      <c r="F56" s="23">
        <v>44189</v>
      </c>
      <c r="G56" s="2" t="str">
        <f>TEXT(Table1[[#This Row],[Hire Date  ]],"yyyy")</f>
        <v>2020</v>
      </c>
      <c r="H56" s="7">
        <v>118947</v>
      </c>
      <c r="I56" s="28">
        <v>96</v>
      </c>
      <c r="J56" s="4">
        <f t="shared" ca="1" si="2"/>
        <v>5</v>
      </c>
      <c r="K56" s="6" t="str" cm="1">
        <f t="array" ref="K56">_xlfn.IFS(I56&lt;=49,"Needs Improvement",I56&lt;=69,"Developing",I56&lt;=84,"Achieving",I56&lt;=94,"Exceeding",I56&lt;=100,"Outstanding")</f>
        <v>Outstanding</v>
      </c>
      <c r="L56" s="6">
        <f>_xlfn.XLOOKUP(K56,Lookup_Performance!$C$2:$C$6,Lookup_Performance!$D$2:$D$6,"N/A",0)</f>
        <v>0.12</v>
      </c>
      <c r="M56" s="30">
        <f t="shared" si="1"/>
        <v>14273.64</v>
      </c>
      <c r="N56" s="26" t="s">
        <v>18</v>
      </c>
      <c r="O56" t="str">
        <f>TRIM(CLEAN(Table1[[#This Row],[Employment Status]]))</f>
        <v>Active</v>
      </c>
    </row>
    <row r="57" spans="2:15" x14ac:dyDescent="0.25">
      <c r="B57" t="s">
        <v>70</v>
      </c>
      <c r="C57" s="26" t="s">
        <v>246</v>
      </c>
      <c r="D57" t="s">
        <v>3</v>
      </c>
      <c r="E57" s="26" t="str">
        <f>_xlfn.XLOOKUP(D57,Lookup_Departments!$A$2:$A$7,Lookup_Departments!$B$2:$B$7,"Invalid Dept_Code",0)</f>
        <v>Information Technology</v>
      </c>
      <c r="F57" s="23">
        <v>45112</v>
      </c>
      <c r="G57" s="2" t="str">
        <f>TEXT(Table1[[#This Row],[Hire Date  ]],"yyyy")</f>
        <v>2023</v>
      </c>
      <c r="H57" s="7">
        <v>74560</v>
      </c>
      <c r="I57" s="28">
        <v>54</v>
      </c>
      <c r="J57" s="4">
        <f t="shared" ca="1" si="2"/>
        <v>3</v>
      </c>
      <c r="K57" s="6" t="str" cm="1">
        <f t="array" ref="K57">_xlfn.IFS(I57&lt;=49,"Needs Improvement",I57&lt;=69,"Developing",I57&lt;=84,"Achieving",I57&lt;=94,"Exceeding",I57&lt;=100,"Outstanding")</f>
        <v>Developing</v>
      </c>
      <c r="L57" s="6">
        <f>_xlfn.XLOOKUP(K57,Lookup_Performance!$C$2:$C$6,Lookup_Performance!$D$2:$D$6,"N/A",0)</f>
        <v>0.02</v>
      </c>
      <c r="M57" s="30">
        <f t="shared" si="1"/>
        <v>1491.2</v>
      </c>
      <c r="N57" s="26" t="s">
        <v>18</v>
      </c>
      <c r="O57" t="str">
        <f>TRIM(CLEAN(Table1[[#This Row],[Employment Status]]))</f>
        <v>Active</v>
      </c>
    </row>
    <row r="58" spans="2:15" x14ac:dyDescent="0.25">
      <c r="B58" t="s">
        <v>71</v>
      </c>
      <c r="C58" s="26" t="s">
        <v>247</v>
      </c>
      <c r="D58" t="s">
        <v>12</v>
      </c>
      <c r="E58" s="26" t="str">
        <f>_xlfn.XLOOKUP(D58,Lookup_Departments!$A$2:$A$7,Lookup_Departments!$B$2:$B$7,"Invalid Dept_Code",0)</f>
        <v>Operations</v>
      </c>
      <c r="F58" s="23">
        <v>44148</v>
      </c>
      <c r="G58" s="2" t="str">
        <f>TEXT(Table1[[#This Row],[Hire Date  ]],"yyyy")</f>
        <v>2020</v>
      </c>
      <c r="H58" s="7">
        <v>75808</v>
      </c>
      <c r="I58" s="28">
        <v>75</v>
      </c>
      <c r="J58" s="4">
        <f t="shared" ca="1" si="2"/>
        <v>5</v>
      </c>
      <c r="K58" s="6" t="str" cm="1">
        <f t="array" ref="K58">_xlfn.IFS(I58&lt;=49,"Needs Improvement",I58&lt;=69,"Developing",I58&lt;=84,"Achieving",I58&lt;=94,"Exceeding",I58&lt;=100,"Outstanding")</f>
        <v>Achieving</v>
      </c>
      <c r="L58" s="6">
        <f>_xlfn.XLOOKUP(K58,Lookup_Performance!$C$2:$C$6,Lookup_Performance!$D$2:$D$6,"N/A",0)</f>
        <v>0.05</v>
      </c>
      <c r="M58" s="30">
        <f t="shared" si="1"/>
        <v>3790.4</v>
      </c>
      <c r="N58" s="26" t="s">
        <v>18</v>
      </c>
      <c r="O58" t="str">
        <f>TRIM(CLEAN(Table1[[#This Row],[Employment Status]]))</f>
        <v>Active</v>
      </c>
    </row>
    <row r="59" spans="2:15" x14ac:dyDescent="0.25">
      <c r="B59" t="s">
        <v>72</v>
      </c>
      <c r="C59" s="26" t="s">
        <v>248</v>
      </c>
      <c r="D59" t="s">
        <v>43</v>
      </c>
      <c r="E59" s="26" t="str">
        <f>_xlfn.XLOOKUP(D59,Lookup_Departments!$A$2:$A$7,Lookup_Departments!$B$2:$B$7,"Invalid Dept_Code",0)</f>
        <v>Human Resources</v>
      </c>
      <c r="F59" s="23" t="s">
        <v>73</v>
      </c>
      <c r="G59" s="2" t="str">
        <f>TEXT(Table1[[#This Row],[Hire Date  ]],"yyyy")</f>
        <v>2018</v>
      </c>
      <c r="H59" s="7">
        <v>91655</v>
      </c>
      <c r="I59" s="28">
        <v>95</v>
      </c>
      <c r="J59" s="4">
        <f t="shared" ca="1" si="2"/>
        <v>8</v>
      </c>
      <c r="K59" s="6" t="str" cm="1">
        <f t="array" ref="K59">_xlfn.IFS(I59&lt;=49,"Needs Improvement",I59&lt;=69,"Developing",I59&lt;=84,"Achieving",I59&lt;=94,"Exceeding",I59&lt;=100,"Outstanding")</f>
        <v>Outstanding</v>
      </c>
      <c r="L59" s="6">
        <f>_xlfn.XLOOKUP(K59,Lookup_Performance!$C$2:$C$6,Lookup_Performance!$D$2:$D$6,"N/A",0)</f>
        <v>0.12</v>
      </c>
      <c r="M59" s="30">
        <f t="shared" si="1"/>
        <v>10998.6</v>
      </c>
      <c r="N59" s="26" t="s">
        <v>18</v>
      </c>
      <c r="O59" t="str">
        <f>TRIM(CLEAN(Table1[[#This Row],[Employment Status]]))</f>
        <v>Active</v>
      </c>
    </row>
    <row r="60" spans="2:15" x14ac:dyDescent="0.25">
      <c r="B60" t="s">
        <v>74</v>
      </c>
      <c r="C60" s="26" t="s">
        <v>197</v>
      </c>
      <c r="D60" t="s">
        <v>3</v>
      </c>
      <c r="E60" s="26" t="str">
        <f>_xlfn.XLOOKUP(D60,Lookup_Departments!$A$2:$A$7,Lookup_Departments!$B$2:$B$7,"Invalid Dept_Code",0)</f>
        <v>Information Technology</v>
      </c>
      <c r="F60" s="23">
        <v>45255</v>
      </c>
      <c r="G60" s="2" t="str">
        <f>TEXT(Table1[[#This Row],[Hire Date  ]],"yyyy")</f>
        <v>2023</v>
      </c>
      <c r="H60" s="7">
        <v>49435</v>
      </c>
      <c r="I60" s="28">
        <v>68</v>
      </c>
      <c r="J60" s="4">
        <f t="shared" ca="1" si="2"/>
        <v>2</v>
      </c>
      <c r="K60" s="6" t="str" cm="1">
        <f t="array" ref="K60">_xlfn.IFS(I60&lt;=49,"Needs Improvement",I60&lt;=69,"Developing",I60&lt;=84,"Achieving",I60&lt;=94,"Exceeding",I60&lt;=100,"Outstanding")</f>
        <v>Developing</v>
      </c>
      <c r="L60" s="6">
        <f>_xlfn.XLOOKUP(K60,Lookup_Performance!$C$2:$C$6,Lookup_Performance!$D$2:$D$6,"N/A",0)</f>
        <v>0.02</v>
      </c>
      <c r="M60" s="30">
        <f t="shared" si="1"/>
        <v>988.7</v>
      </c>
      <c r="N60" s="26" t="s">
        <v>10</v>
      </c>
      <c r="O60" t="str">
        <f>TRIM(CLEAN(Table1[[#This Row],[Employment Status]]))</f>
        <v>Left</v>
      </c>
    </row>
    <row r="61" spans="2:15" x14ac:dyDescent="0.25">
      <c r="B61" t="s">
        <v>75</v>
      </c>
      <c r="C61" s="26" t="s">
        <v>233</v>
      </c>
      <c r="D61" t="s">
        <v>17</v>
      </c>
      <c r="E61" s="26" t="str">
        <f>_xlfn.XLOOKUP(D61,Lookup_Departments!$A$2:$A$7,Lookup_Departments!$B$2:$B$7,"Invalid Dept_Code",0)</f>
        <v>Sales</v>
      </c>
      <c r="F61" s="23">
        <v>45217</v>
      </c>
      <c r="G61" s="2" t="str">
        <f>TEXT(Table1[[#This Row],[Hire Date  ]],"yyyy")</f>
        <v>2023</v>
      </c>
      <c r="H61" s="7">
        <v>110381</v>
      </c>
      <c r="I61" s="28">
        <v>93</v>
      </c>
      <c r="J61" s="4">
        <f t="shared" ca="1" si="2"/>
        <v>2</v>
      </c>
      <c r="K61" s="6" t="str" cm="1">
        <f t="array" ref="K61">_xlfn.IFS(I61&lt;=49,"Needs Improvement",I61&lt;=69,"Developing",I61&lt;=84,"Achieving",I61&lt;=94,"Exceeding",I61&lt;=100,"Outstanding")</f>
        <v>Exceeding</v>
      </c>
      <c r="L61" s="6">
        <f>_xlfn.XLOOKUP(K61,Lookup_Performance!$C$2:$C$6,Lookup_Performance!$D$2:$D$6,"N/A",0)</f>
        <v>0.08</v>
      </c>
      <c r="M61" s="30">
        <f t="shared" si="1"/>
        <v>8830.48</v>
      </c>
      <c r="N61" s="26" t="s">
        <v>18</v>
      </c>
      <c r="O61" t="str">
        <f>TRIM(CLEAN(Table1[[#This Row],[Employment Status]]))</f>
        <v>Active</v>
      </c>
    </row>
    <row r="62" spans="2:15" x14ac:dyDescent="0.25">
      <c r="B62" t="s">
        <v>76</v>
      </c>
      <c r="C62" s="26" t="s">
        <v>249</v>
      </c>
      <c r="D62" t="s">
        <v>43</v>
      </c>
      <c r="E62" s="26" t="str">
        <f>_xlfn.XLOOKUP(D62,Lookup_Departments!$A$2:$A$7,Lookup_Departments!$B$2:$B$7,"Invalid Dept_Code",0)</f>
        <v>Human Resources</v>
      </c>
      <c r="F62" s="23">
        <v>44079</v>
      </c>
      <c r="G62" s="2" t="str">
        <f>TEXT(Table1[[#This Row],[Hire Date  ]],"yyyy")</f>
        <v>2020</v>
      </c>
      <c r="H62" s="7">
        <v>114748</v>
      </c>
      <c r="I62" s="28">
        <v>33</v>
      </c>
      <c r="J62" s="4">
        <f t="shared" ca="1" si="2"/>
        <v>5</v>
      </c>
      <c r="K62" s="6" t="str" cm="1">
        <f t="array" ref="K62">_xlfn.IFS(I62&lt;=49,"Needs Improvement",I62&lt;=69,"Developing",I62&lt;=84,"Achieving",I62&lt;=94,"Exceeding",I62&lt;=100,"Outstanding")</f>
        <v>Needs Improvement</v>
      </c>
      <c r="L62" s="6">
        <f>_xlfn.XLOOKUP(K62,Lookup_Performance!$C$2:$C$6,Lookup_Performance!$D$2:$D$6,"N/A",0)</f>
        <v>0</v>
      </c>
      <c r="M62" s="30">
        <f t="shared" si="1"/>
        <v>0</v>
      </c>
      <c r="N62" s="26" t="s">
        <v>18</v>
      </c>
      <c r="O62" t="str">
        <f>TRIM(CLEAN(Table1[[#This Row],[Employment Status]]))</f>
        <v>Active</v>
      </c>
    </row>
    <row r="63" spans="2:15" x14ac:dyDescent="0.25">
      <c r="B63" t="s">
        <v>77</v>
      </c>
      <c r="C63" s="26" t="s">
        <v>250</v>
      </c>
      <c r="D63" t="s">
        <v>12</v>
      </c>
      <c r="E63" s="26" t="str">
        <f>_xlfn.XLOOKUP(D63,Lookup_Departments!$A$2:$A$7,Lookup_Departments!$B$2:$B$7,"Invalid Dept_Code",0)</f>
        <v>Operations</v>
      </c>
      <c r="F63" s="23">
        <v>42800</v>
      </c>
      <c r="G63" s="2" t="str">
        <f>TEXT(Table1[[#This Row],[Hire Date  ]],"yyyy")</f>
        <v>2017</v>
      </c>
      <c r="H63" s="7">
        <v>63302</v>
      </c>
      <c r="I63" s="28">
        <v>91</v>
      </c>
      <c r="J63" s="4">
        <f t="shared" ca="1" si="2"/>
        <v>9</v>
      </c>
      <c r="K63" s="6" t="str" cm="1">
        <f t="array" ref="K63">_xlfn.IFS(I63&lt;=49,"Needs Improvement",I63&lt;=69,"Developing",I63&lt;=84,"Achieving",I63&lt;=94,"Exceeding",I63&lt;=100,"Outstanding")</f>
        <v>Exceeding</v>
      </c>
      <c r="L63" s="6">
        <f>_xlfn.XLOOKUP(K63,Lookup_Performance!$C$2:$C$6,Lookup_Performance!$D$2:$D$6,"N/A",0)</f>
        <v>0.08</v>
      </c>
      <c r="M63" s="30">
        <f t="shared" si="1"/>
        <v>5064.16</v>
      </c>
      <c r="N63" s="26" t="s">
        <v>18</v>
      </c>
      <c r="O63" t="str">
        <f>TRIM(CLEAN(Table1[[#This Row],[Employment Status]]))</f>
        <v>Active</v>
      </c>
    </row>
    <row r="64" spans="2:15" x14ac:dyDescent="0.25">
      <c r="B64" t="s">
        <v>78</v>
      </c>
      <c r="C64" s="26" t="s">
        <v>251</v>
      </c>
      <c r="D64" t="s">
        <v>3</v>
      </c>
      <c r="E64" s="26" t="str">
        <f>_xlfn.XLOOKUP(D64,Lookup_Departments!$A$2:$A$7,Lookup_Departments!$B$2:$B$7,"Invalid Dept_Code",0)</f>
        <v>Information Technology</v>
      </c>
      <c r="F64" s="23">
        <v>42122</v>
      </c>
      <c r="G64" s="2" t="str">
        <f>TEXT(Table1[[#This Row],[Hire Date  ]],"yyyy")</f>
        <v>2015</v>
      </c>
      <c r="H64" s="7">
        <v>75519</v>
      </c>
      <c r="I64" s="28">
        <v>64</v>
      </c>
      <c r="J64" s="4">
        <f t="shared" ca="1" si="2"/>
        <v>11</v>
      </c>
      <c r="K64" s="6" t="str" cm="1">
        <f t="array" ref="K64">_xlfn.IFS(I64&lt;=49,"Needs Improvement",I64&lt;=69,"Developing",I64&lt;=84,"Achieving",I64&lt;=94,"Exceeding",I64&lt;=100,"Outstanding")</f>
        <v>Developing</v>
      </c>
      <c r="L64" s="6">
        <f>_xlfn.XLOOKUP(K64,Lookup_Performance!$C$2:$C$6,Lookup_Performance!$D$2:$D$6,"N/A",0)</f>
        <v>0.02</v>
      </c>
      <c r="M64" s="30">
        <f t="shared" si="1"/>
        <v>1510.38</v>
      </c>
      <c r="N64" s="26" t="s">
        <v>18</v>
      </c>
      <c r="O64" t="str">
        <f>TRIM(CLEAN(Table1[[#This Row],[Employment Status]]))</f>
        <v>Active</v>
      </c>
    </row>
    <row r="65" spans="2:15" x14ac:dyDescent="0.25">
      <c r="B65" t="s">
        <v>79</v>
      </c>
      <c r="C65" s="26" t="s">
        <v>243</v>
      </c>
      <c r="D65" t="s">
        <v>8</v>
      </c>
      <c r="E65" s="26" t="str">
        <f>_xlfn.XLOOKUP(D65,Lookup_Departments!$A$2:$A$7,Lookup_Departments!$B$2:$B$7,"Invalid Dept_Code",0)</f>
        <v>Finance</v>
      </c>
      <c r="F65" s="23">
        <v>42838</v>
      </c>
      <c r="G65" s="2" t="str">
        <f>TEXT(Table1[[#This Row],[Hire Date  ]],"yyyy")</f>
        <v>2017</v>
      </c>
      <c r="H65" s="7">
        <v>103891</v>
      </c>
      <c r="I65" s="28">
        <v>80</v>
      </c>
      <c r="J65" s="4">
        <f t="shared" ca="1" si="2"/>
        <v>9</v>
      </c>
      <c r="K65" s="6" t="str" cm="1">
        <f t="array" ref="K65">_xlfn.IFS(I65&lt;=49,"Needs Improvement",I65&lt;=69,"Developing",I65&lt;=84,"Achieving",I65&lt;=94,"Exceeding",I65&lt;=100,"Outstanding")</f>
        <v>Achieving</v>
      </c>
      <c r="L65" s="6">
        <f>_xlfn.XLOOKUP(K65,Lookup_Performance!$C$2:$C$6,Lookup_Performance!$D$2:$D$6,"N/A",0)</f>
        <v>0.05</v>
      </c>
      <c r="M65" s="30">
        <f t="shared" si="1"/>
        <v>5194.55</v>
      </c>
      <c r="N65" s="26" t="s">
        <v>18</v>
      </c>
      <c r="O65" t="str">
        <f>TRIM(CLEAN(Table1[[#This Row],[Employment Status]]))</f>
        <v>Active</v>
      </c>
    </row>
    <row r="66" spans="2:15" x14ac:dyDescent="0.25">
      <c r="B66" t="s">
        <v>80</v>
      </c>
      <c r="C66" s="26" t="s">
        <v>252</v>
      </c>
      <c r="D66" t="s">
        <v>12</v>
      </c>
      <c r="E66" s="26" t="str">
        <f>_xlfn.XLOOKUP(D66,Lookup_Departments!$A$2:$A$7,Lookup_Departments!$B$2:$B$7,"Invalid Dept_Code",0)</f>
        <v>Operations</v>
      </c>
      <c r="F66" s="23">
        <v>44827</v>
      </c>
      <c r="G66" s="2" t="str">
        <f>TEXT(Table1[[#This Row],[Hire Date  ]],"yyyy")</f>
        <v>2022</v>
      </c>
      <c r="H66" s="7">
        <v>75808</v>
      </c>
      <c r="I66" s="28">
        <v>46</v>
      </c>
      <c r="J66" s="4">
        <f t="shared" ref="J66:J97" ca="1" si="3">DATEDIF(F66,TODAY(),"Y")</f>
        <v>3</v>
      </c>
      <c r="K66" s="6" t="str" cm="1">
        <f t="array" ref="K66">_xlfn.IFS(I66&lt;=49,"Needs Improvement",I66&lt;=69,"Developing",I66&lt;=84,"Achieving",I66&lt;=94,"Exceeding",I66&lt;=100,"Outstanding")</f>
        <v>Needs Improvement</v>
      </c>
      <c r="L66" s="6">
        <f>_xlfn.XLOOKUP(K66,Lookup_Performance!$C$2:$C$6,Lookup_Performance!$D$2:$D$6,"N/A",0)</f>
        <v>0</v>
      </c>
      <c r="M66" s="30">
        <f t="shared" si="1"/>
        <v>0</v>
      </c>
      <c r="N66" s="26" t="s">
        <v>10</v>
      </c>
      <c r="O66" t="str">
        <f>TRIM(CLEAN(Table1[[#This Row],[Employment Status]]))</f>
        <v>Left</v>
      </c>
    </row>
    <row r="67" spans="2:15" x14ac:dyDescent="0.25">
      <c r="B67" t="s">
        <v>81</v>
      </c>
      <c r="C67" s="26" t="s">
        <v>253</v>
      </c>
      <c r="D67" t="s">
        <v>5</v>
      </c>
      <c r="E67" s="26" t="str">
        <f>_xlfn.XLOOKUP(D67,Lookup_Departments!$A$2:$A$7,Lookup_Departments!$B$2:$B$7,"Invalid Dept_Code",0)</f>
        <v>Marketing</v>
      </c>
      <c r="F67" s="23" t="s">
        <v>82</v>
      </c>
      <c r="G67" s="2" t="str">
        <f>TEXT(Table1[[#This Row],[Hire Date  ]],"yyyy")</f>
        <v>2016</v>
      </c>
      <c r="H67" s="7">
        <v>50936</v>
      </c>
      <c r="I67" s="28">
        <v>99</v>
      </c>
      <c r="J67" s="4">
        <f t="shared" ca="1" si="3"/>
        <v>9</v>
      </c>
      <c r="K67" s="6" t="str" cm="1">
        <f t="array" ref="K67">_xlfn.IFS(I67&lt;=49,"Needs Improvement",I67&lt;=69,"Developing",I67&lt;=84,"Achieving",I67&lt;=94,"Exceeding",I67&lt;=100,"Outstanding")</f>
        <v>Outstanding</v>
      </c>
      <c r="L67" s="6">
        <f>_xlfn.XLOOKUP(K67,Lookup_Performance!$C$2:$C$6,Lookup_Performance!$D$2:$D$6,"N/A",0)</f>
        <v>0.12</v>
      </c>
      <c r="M67" s="30">
        <f t="shared" ref="M67:M130" si="4">H67*L67</f>
        <v>6112.32</v>
      </c>
      <c r="N67" s="26" t="s">
        <v>18</v>
      </c>
      <c r="O67" t="str">
        <f>TRIM(CLEAN(Table1[[#This Row],[Employment Status]]))</f>
        <v>Active</v>
      </c>
    </row>
    <row r="68" spans="2:15" x14ac:dyDescent="0.25">
      <c r="B68" t="s">
        <v>83</v>
      </c>
      <c r="C68" s="26" t="s">
        <v>254</v>
      </c>
      <c r="D68" t="s">
        <v>17</v>
      </c>
      <c r="E68" s="26" t="str">
        <f>_xlfn.XLOOKUP(D68,Lookup_Departments!$A$2:$A$7,Lookup_Departments!$B$2:$B$7,"Invalid Dept_Code",0)</f>
        <v>Sales</v>
      </c>
      <c r="F68" s="23">
        <v>42818</v>
      </c>
      <c r="G68" s="2" t="str">
        <f>TEXT(Table1[[#This Row],[Hire Date  ]],"yyyy")</f>
        <v>2017</v>
      </c>
      <c r="H68" s="7">
        <v>111240</v>
      </c>
      <c r="I68" s="28">
        <v>68</v>
      </c>
      <c r="J68" s="4">
        <f t="shared" ca="1" si="3"/>
        <v>9</v>
      </c>
      <c r="K68" s="6" t="str" cm="1">
        <f t="array" ref="K68">_xlfn.IFS(I68&lt;=49,"Needs Improvement",I68&lt;=69,"Developing",I68&lt;=84,"Achieving",I68&lt;=94,"Exceeding",I68&lt;=100,"Outstanding")</f>
        <v>Developing</v>
      </c>
      <c r="L68" s="6">
        <f>_xlfn.XLOOKUP(K68,Lookup_Performance!$C$2:$C$6,Lookup_Performance!$D$2:$D$6,"N/A",0)</f>
        <v>0.02</v>
      </c>
      <c r="M68" s="30">
        <f t="shared" si="4"/>
        <v>2224.8000000000002</v>
      </c>
      <c r="N68" s="26" t="s">
        <v>18</v>
      </c>
      <c r="O68" t="str">
        <f>TRIM(CLEAN(Table1[[#This Row],[Employment Status]]))</f>
        <v>Active</v>
      </c>
    </row>
    <row r="69" spans="2:15" x14ac:dyDescent="0.25">
      <c r="B69" t="s">
        <v>84</v>
      </c>
      <c r="C69" s="26" t="s">
        <v>255</v>
      </c>
      <c r="D69" t="s">
        <v>43</v>
      </c>
      <c r="E69" s="26" t="str">
        <f>_xlfn.XLOOKUP(D69,Lookup_Departments!$A$2:$A$7,Lookup_Departments!$B$2:$B$7,"Invalid Dept_Code",0)</f>
        <v>Human Resources</v>
      </c>
      <c r="F69" s="23">
        <v>43590</v>
      </c>
      <c r="G69" s="2" t="str">
        <f>TEXT(Table1[[#This Row],[Hire Date  ]],"yyyy")</f>
        <v>2019</v>
      </c>
      <c r="H69" s="7">
        <v>51567</v>
      </c>
      <c r="I69" s="28">
        <v>87</v>
      </c>
      <c r="J69" s="4">
        <f t="shared" ca="1" si="3"/>
        <v>7</v>
      </c>
      <c r="K69" s="6" t="str" cm="1">
        <f t="array" ref="K69">_xlfn.IFS(I69&lt;=49,"Needs Improvement",I69&lt;=69,"Developing",I69&lt;=84,"Achieving",I69&lt;=94,"Exceeding",I69&lt;=100,"Outstanding")</f>
        <v>Exceeding</v>
      </c>
      <c r="L69" s="6">
        <f>_xlfn.XLOOKUP(K69,Lookup_Performance!$C$2:$C$6,Lookup_Performance!$D$2:$D$6,"N/A",0)</f>
        <v>0.08</v>
      </c>
      <c r="M69" s="30">
        <f t="shared" si="4"/>
        <v>4125.3599999999997</v>
      </c>
      <c r="N69" s="26" t="s">
        <v>55</v>
      </c>
      <c r="O69" t="str">
        <f>TRIM(CLEAN(Table1[[#This Row],[Employment Status]]))</f>
        <v>Resigned</v>
      </c>
    </row>
    <row r="70" spans="2:15" x14ac:dyDescent="0.25">
      <c r="B70" t="s">
        <v>85</v>
      </c>
      <c r="C70" s="26" t="s">
        <v>256</v>
      </c>
      <c r="D70" t="s">
        <v>43</v>
      </c>
      <c r="E70" s="26" t="str">
        <f>_xlfn.XLOOKUP(D70,Lookup_Departments!$A$2:$A$7,Lookup_Departments!$B$2:$B$7,"Invalid Dept_Code",0)</f>
        <v>Human Resources</v>
      </c>
      <c r="F70" s="23">
        <v>44402</v>
      </c>
      <c r="G70" s="2" t="str">
        <f>TEXT(Table1[[#This Row],[Hire Date  ]],"yyyy")</f>
        <v>2021</v>
      </c>
      <c r="H70" s="7">
        <v>86349</v>
      </c>
      <c r="I70" s="28">
        <v>36</v>
      </c>
      <c r="J70" s="4">
        <f t="shared" ca="1" si="3"/>
        <v>4</v>
      </c>
      <c r="K70" s="6" t="str" cm="1">
        <f t="array" ref="K70">_xlfn.IFS(I70&lt;=49,"Needs Improvement",I70&lt;=69,"Developing",I70&lt;=84,"Achieving",I70&lt;=94,"Exceeding",I70&lt;=100,"Outstanding")</f>
        <v>Needs Improvement</v>
      </c>
      <c r="L70" s="6">
        <f>_xlfn.XLOOKUP(K70,Lookup_Performance!$C$2:$C$6,Lookup_Performance!$D$2:$D$6,"N/A",0)</f>
        <v>0</v>
      </c>
      <c r="M70" s="30">
        <f t="shared" si="4"/>
        <v>0</v>
      </c>
      <c r="N70" s="26" t="s">
        <v>18</v>
      </c>
      <c r="O70" t="str">
        <f>TRIM(CLEAN(Table1[[#This Row],[Employment Status]]))</f>
        <v>Active</v>
      </c>
    </row>
    <row r="71" spans="2:15" x14ac:dyDescent="0.25">
      <c r="B71" t="s">
        <v>86</v>
      </c>
      <c r="C71" s="26" t="s">
        <v>251</v>
      </c>
      <c r="D71" t="s">
        <v>43</v>
      </c>
      <c r="E71" s="26" t="str">
        <f>_xlfn.XLOOKUP(D71,Lookup_Departments!$A$2:$A$7,Lookup_Departments!$B$2:$B$7,"Invalid Dept_Code",0)</f>
        <v>Human Resources</v>
      </c>
      <c r="F71" s="23">
        <v>43008</v>
      </c>
      <c r="G71" s="2" t="str">
        <f>TEXT(Table1[[#This Row],[Hire Date  ]],"yyyy")</f>
        <v>2017</v>
      </c>
      <c r="H71" s="7">
        <v>55270</v>
      </c>
      <c r="I71" s="28">
        <v>87</v>
      </c>
      <c r="J71" s="4">
        <f t="shared" ca="1" si="3"/>
        <v>8</v>
      </c>
      <c r="K71" s="6" t="str" cm="1">
        <f t="array" ref="K71">_xlfn.IFS(I71&lt;=49,"Needs Improvement",I71&lt;=69,"Developing",I71&lt;=84,"Achieving",I71&lt;=94,"Exceeding",I71&lt;=100,"Outstanding")</f>
        <v>Exceeding</v>
      </c>
      <c r="L71" s="6">
        <f>_xlfn.XLOOKUP(K71,Lookup_Performance!$C$2:$C$6,Lookup_Performance!$D$2:$D$6,"N/A",0)</f>
        <v>0.08</v>
      </c>
      <c r="M71" s="30">
        <f t="shared" si="4"/>
        <v>4421.6000000000004</v>
      </c>
      <c r="N71" s="26" t="s">
        <v>18</v>
      </c>
      <c r="O71" t="str">
        <f>TRIM(CLEAN(Table1[[#This Row],[Employment Status]]))</f>
        <v>Active</v>
      </c>
    </row>
    <row r="72" spans="2:15" x14ac:dyDescent="0.25">
      <c r="B72" t="s">
        <v>87</v>
      </c>
      <c r="C72" s="26" t="s">
        <v>257</v>
      </c>
      <c r="D72" t="s">
        <v>17</v>
      </c>
      <c r="E72" s="26" t="str">
        <f>_xlfn.XLOOKUP(D72,Lookup_Departments!$A$2:$A$7,Lookup_Departments!$B$2:$B$7,"Invalid Dept_Code",0)</f>
        <v>Sales</v>
      </c>
      <c r="F72" s="23">
        <v>42192</v>
      </c>
      <c r="G72" s="2" t="str">
        <f>TEXT(Table1[[#This Row],[Hire Date  ]],"yyyy")</f>
        <v>2015</v>
      </c>
      <c r="H72" s="7">
        <v>65235</v>
      </c>
      <c r="I72" s="28">
        <v>97</v>
      </c>
      <c r="J72" s="4">
        <f t="shared" ca="1" si="3"/>
        <v>11</v>
      </c>
      <c r="K72" s="6" t="str" cm="1">
        <f t="array" ref="K72">_xlfn.IFS(I72&lt;=49,"Needs Improvement",I72&lt;=69,"Developing",I72&lt;=84,"Achieving",I72&lt;=94,"Exceeding",I72&lt;=100,"Outstanding")</f>
        <v>Outstanding</v>
      </c>
      <c r="L72" s="6">
        <f>_xlfn.XLOOKUP(K72,Lookup_Performance!$C$2:$C$6,Lookup_Performance!$D$2:$D$6,"N/A",0)</f>
        <v>0.12</v>
      </c>
      <c r="M72" s="30">
        <f t="shared" si="4"/>
        <v>7828.2</v>
      </c>
      <c r="N72" s="26" t="s">
        <v>18</v>
      </c>
      <c r="O72" t="str">
        <f>TRIM(CLEAN(Table1[[#This Row],[Employment Status]]))</f>
        <v>Active</v>
      </c>
    </row>
    <row r="73" spans="2:15" x14ac:dyDescent="0.25">
      <c r="B73" t="s">
        <v>88</v>
      </c>
      <c r="C73" s="26" t="s">
        <v>258</v>
      </c>
      <c r="D73" t="s">
        <v>17</v>
      </c>
      <c r="E73" s="26" t="str">
        <f>_xlfn.XLOOKUP(D73,Lookup_Departments!$A$2:$A$7,Lookup_Departments!$B$2:$B$7,"Invalid Dept_Code",0)</f>
        <v>Sales</v>
      </c>
      <c r="F73" s="23">
        <v>43283</v>
      </c>
      <c r="G73" s="2" t="str">
        <f>TEXT(Table1[[#This Row],[Hire Date  ]],"yyyy")</f>
        <v>2018</v>
      </c>
      <c r="H73" s="7">
        <v>80907</v>
      </c>
      <c r="I73" s="28">
        <v>72</v>
      </c>
      <c r="J73" s="4">
        <f t="shared" ca="1" si="3"/>
        <v>8</v>
      </c>
      <c r="K73" s="6" t="str" cm="1">
        <f t="array" ref="K73">_xlfn.IFS(I73&lt;=49,"Needs Improvement",I73&lt;=69,"Developing",I73&lt;=84,"Achieving",I73&lt;=94,"Exceeding",I73&lt;=100,"Outstanding")</f>
        <v>Achieving</v>
      </c>
      <c r="L73" s="6">
        <f>_xlfn.XLOOKUP(K73,Lookup_Performance!$C$2:$C$6,Lookup_Performance!$D$2:$D$6,"N/A",0)</f>
        <v>0.05</v>
      </c>
      <c r="M73" s="30">
        <f t="shared" si="4"/>
        <v>4045.3500000000004</v>
      </c>
      <c r="N73" s="26" t="s">
        <v>10</v>
      </c>
      <c r="O73" t="str">
        <f>TRIM(CLEAN(Table1[[#This Row],[Employment Status]]))</f>
        <v>Left</v>
      </c>
    </row>
    <row r="74" spans="2:15" x14ac:dyDescent="0.25">
      <c r="B74" t="s">
        <v>89</v>
      </c>
      <c r="C74" s="26" t="s">
        <v>259</v>
      </c>
      <c r="D74" t="s">
        <v>17</v>
      </c>
      <c r="E74" s="26" t="str">
        <f>_xlfn.XLOOKUP(D74,Lookup_Departments!$A$2:$A$7,Lookup_Departments!$B$2:$B$7,"Invalid Dept_Code",0)</f>
        <v>Sales</v>
      </c>
      <c r="F74" s="23">
        <v>44819</v>
      </c>
      <c r="G74" s="2" t="str">
        <f>TEXT(Table1[[#This Row],[Hire Date  ]],"yyyy")</f>
        <v>2022</v>
      </c>
      <c r="H74" s="7">
        <v>80907</v>
      </c>
      <c r="I74" s="28">
        <v>65</v>
      </c>
      <c r="J74" s="4">
        <f t="shared" ca="1" si="3"/>
        <v>3</v>
      </c>
      <c r="K74" s="6" t="str" cm="1">
        <f t="array" ref="K74">_xlfn.IFS(I74&lt;=49,"Needs Improvement",I74&lt;=69,"Developing",I74&lt;=84,"Achieving",I74&lt;=94,"Exceeding",I74&lt;=100,"Outstanding")</f>
        <v>Developing</v>
      </c>
      <c r="L74" s="6">
        <f>_xlfn.XLOOKUP(K74,Lookup_Performance!$C$2:$C$6,Lookup_Performance!$D$2:$D$6,"N/A",0)</f>
        <v>0.02</v>
      </c>
      <c r="M74" s="30">
        <f t="shared" si="4"/>
        <v>1618.14</v>
      </c>
      <c r="N74" s="26" t="s">
        <v>10</v>
      </c>
      <c r="O74" t="str">
        <f>TRIM(CLEAN(Table1[[#This Row],[Employment Status]]))</f>
        <v>Left</v>
      </c>
    </row>
    <row r="75" spans="2:15" x14ac:dyDescent="0.25">
      <c r="B75" t="s">
        <v>90</v>
      </c>
      <c r="C75" s="26" t="s">
        <v>260</v>
      </c>
      <c r="D75" t="s">
        <v>17</v>
      </c>
      <c r="E75" s="26" t="str">
        <f>_xlfn.XLOOKUP(D75,Lookup_Departments!$A$2:$A$7,Lookup_Departments!$B$2:$B$7,"Invalid Dept_Code",0)</f>
        <v>Sales</v>
      </c>
      <c r="F75" s="23">
        <v>42249</v>
      </c>
      <c r="G75" s="2" t="str">
        <f>TEXT(Table1[[#This Row],[Hire Date  ]],"yyyy")</f>
        <v>2015</v>
      </c>
      <c r="H75" s="7">
        <v>80907</v>
      </c>
      <c r="I75" s="28">
        <v>67</v>
      </c>
      <c r="J75" s="4">
        <f t="shared" ca="1" si="3"/>
        <v>10</v>
      </c>
      <c r="K75" s="6" t="str" cm="1">
        <f t="array" ref="K75">_xlfn.IFS(I75&lt;=49,"Needs Improvement",I75&lt;=69,"Developing",I75&lt;=84,"Achieving",I75&lt;=94,"Exceeding",I75&lt;=100,"Outstanding")</f>
        <v>Developing</v>
      </c>
      <c r="L75" s="6">
        <f>_xlfn.XLOOKUP(K75,Lookup_Performance!$C$2:$C$6,Lookup_Performance!$D$2:$D$6,"N/A",0)</f>
        <v>0.02</v>
      </c>
      <c r="M75" s="30">
        <f t="shared" si="4"/>
        <v>1618.14</v>
      </c>
      <c r="N75" s="26" t="s">
        <v>18</v>
      </c>
      <c r="O75" t="str">
        <f>TRIM(CLEAN(Table1[[#This Row],[Employment Status]]))</f>
        <v>Active</v>
      </c>
    </row>
    <row r="76" spans="2:15" x14ac:dyDescent="0.25">
      <c r="B76" t="s">
        <v>91</v>
      </c>
      <c r="C76" s="26" t="s">
        <v>261</v>
      </c>
      <c r="D76" t="s">
        <v>12</v>
      </c>
      <c r="E76" s="26" t="str">
        <f>_xlfn.XLOOKUP(D76,Lookup_Departments!$A$2:$A$7,Lookup_Departments!$B$2:$B$7,"Invalid Dept_Code",0)</f>
        <v>Operations</v>
      </c>
      <c r="F76" s="23">
        <v>42654</v>
      </c>
      <c r="G76" s="2" t="str">
        <f>TEXT(Table1[[#This Row],[Hire Date  ]],"yyyy")</f>
        <v>2016</v>
      </c>
      <c r="H76" s="7">
        <v>48823</v>
      </c>
      <c r="I76" s="28">
        <v>34</v>
      </c>
      <c r="J76" s="4">
        <f t="shared" ca="1" si="3"/>
        <v>9</v>
      </c>
      <c r="K76" s="6" t="str" cm="1">
        <f t="array" ref="K76">_xlfn.IFS(I76&lt;=49,"Needs Improvement",I76&lt;=69,"Developing",I76&lt;=84,"Achieving",I76&lt;=94,"Exceeding",I76&lt;=100,"Outstanding")</f>
        <v>Needs Improvement</v>
      </c>
      <c r="L76" s="6">
        <f>_xlfn.XLOOKUP(K76,Lookup_Performance!$C$2:$C$6,Lookup_Performance!$D$2:$D$6,"N/A",0)</f>
        <v>0</v>
      </c>
      <c r="M76" s="30">
        <f t="shared" si="4"/>
        <v>0</v>
      </c>
      <c r="N76" s="26" t="s">
        <v>18</v>
      </c>
      <c r="O76" t="str">
        <f>TRIM(CLEAN(Table1[[#This Row],[Employment Status]]))</f>
        <v>Active</v>
      </c>
    </row>
    <row r="77" spans="2:15" x14ac:dyDescent="0.25">
      <c r="B77" t="s">
        <v>92</v>
      </c>
      <c r="C77" s="26" t="s">
        <v>260</v>
      </c>
      <c r="D77" t="s">
        <v>8</v>
      </c>
      <c r="E77" s="26" t="str">
        <f>_xlfn.XLOOKUP(D77,Lookup_Departments!$A$2:$A$7,Lookup_Departments!$B$2:$B$7,"Invalid Dept_Code",0)</f>
        <v>Finance</v>
      </c>
      <c r="F77" s="23">
        <v>43575</v>
      </c>
      <c r="G77" s="2" t="str">
        <f>TEXT(Table1[[#This Row],[Hire Date  ]],"yyyy")</f>
        <v>2019</v>
      </c>
      <c r="H77" s="7">
        <v>45196</v>
      </c>
      <c r="I77" s="28">
        <v>78</v>
      </c>
      <c r="J77" s="4">
        <f t="shared" ca="1" si="3"/>
        <v>7</v>
      </c>
      <c r="K77" s="6" t="str" cm="1">
        <f t="array" ref="K77">_xlfn.IFS(I77&lt;=49,"Needs Improvement",I77&lt;=69,"Developing",I77&lt;=84,"Achieving",I77&lt;=94,"Exceeding",I77&lt;=100,"Outstanding")</f>
        <v>Achieving</v>
      </c>
      <c r="L77" s="6">
        <f>_xlfn.XLOOKUP(K77,Lookup_Performance!$C$2:$C$6,Lookup_Performance!$D$2:$D$6,"N/A",0)</f>
        <v>0.05</v>
      </c>
      <c r="M77" s="30">
        <f t="shared" si="4"/>
        <v>2259.8000000000002</v>
      </c>
      <c r="N77" s="26" t="s">
        <v>10</v>
      </c>
      <c r="O77" t="str">
        <f>TRIM(CLEAN(Table1[[#This Row],[Employment Status]]))</f>
        <v>Left</v>
      </c>
    </row>
    <row r="78" spans="2:15" x14ac:dyDescent="0.25">
      <c r="B78" t="s">
        <v>93</v>
      </c>
      <c r="C78" s="26" t="s">
        <v>262</v>
      </c>
      <c r="D78" t="s">
        <v>3</v>
      </c>
      <c r="E78" s="26" t="str">
        <f>_xlfn.XLOOKUP(D78,Lookup_Departments!$A$2:$A$7,Lookup_Departments!$B$2:$B$7,"Invalid Dept_Code",0)</f>
        <v>Information Technology</v>
      </c>
      <c r="F78" s="23" t="s">
        <v>94</v>
      </c>
      <c r="G78" s="2" t="str">
        <f>TEXT(Table1[[#This Row],[Hire Date  ]],"yyyy")</f>
        <v>2017</v>
      </c>
      <c r="H78" s="7">
        <v>86246</v>
      </c>
      <c r="I78" s="28">
        <v>61</v>
      </c>
      <c r="J78" s="4">
        <f t="shared" ca="1" si="3"/>
        <v>9</v>
      </c>
      <c r="K78" s="6" t="str" cm="1">
        <f t="array" ref="K78">_xlfn.IFS(I78&lt;=49,"Needs Improvement",I78&lt;=69,"Developing",I78&lt;=84,"Achieving",I78&lt;=94,"Exceeding",I78&lt;=100,"Outstanding")</f>
        <v>Developing</v>
      </c>
      <c r="L78" s="6">
        <f>_xlfn.XLOOKUP(K78,Lookup_Performance!$C$2:$C$6,Lookup_Performance!$D$2:$D$6,"N/A",0)</f>
        <v>0.02</v>
      </c>
      <c r="M78" s="30">
        <f t="shared" si="4"/>
        <v>1724.92</v>
      </c>
      <c r="N78" s="26" t="s">
        <v>18</v>
      </c>
      <c r="O78" t="str">
        <f>TRIM(CLEAN(Table1[[#This Row],[Employment Status]]))</f>
        <v>Active</v>
      </c>
    </row>
    <row r="79" spans="2:15" x14ac:dyDescent="0.25">
      <c r="B79" t="s">
        <v>95</v>
      </c>
      <c r="C79" s="26" t="s">
        <v>207</v>
      </c>
      <c r="D79" t="s">
        <v>17</v>
      </c>
      <c r="E79" s="26" t="str">
        <f>_xlfn.XLOOKUP(D79,Lookup_Departments!$A$2:$A$7,Lookup_Departments!$B$2:$B$7,"Invalid Dept_Code",0)</f>
        <v>Sales</v>
      </c>
      <c r="F79" s="23" t="s">
        <v>96</v>
      </c>
      <c r="G79" s="2" t="str">
        <f>TEXT(Table1[[#This Row],[Hire Date  ]],"yyyy")</f>
        <v>2021</v>
      </c>
      <c r="H79" s="7">
        <v>70359</v>
      </c>
      <c r="I79" s="28">
        <v>74</v>
      </c>
      <c r="J79" s="4">
        <f t="shared" ca="1" si="3"/>
        <v>4</v>
      </c>
      <c r="K79" s="6" t="str" cm="1">
        <f t="array" ref="K79">_xlfn.IFS(I79&lt;=49,"Needs Improvement",I79&lt;=69,"Developing",I79&lt;=84,"Achieving",I79&lt;=94,"Exceeding",I79&lt;=100,"Outstanding")</f>
        <v>Achieving</v>
      </c>
      <c r="L79" s="6">
        <f>_xlfn.XLOOKUP(K79,Lookup_Performance!$C$2:$C$6,Lookup_Performance!$D$2:$D$6,"N/A",0)</f>
        <v>0.05</v>
      </c>
      <c r="M79" s="30">
        <f t="shared" si="4"/>
        <v>3517.9500000000003</v>
      </c>
      <c r="N79" s="26" t="s">
        <v>10</v>
      </c>
      <c r="O79" t="str">
        <f>TRIM(CLEAN(Table1[[#This Row],[Employment Status]]))</f>
        <v>Left</v>
      </c>
    </row>
    <row r="80" spans="2:15" x14ac:dyDescent="0.25">
      <c r="B80" t="s">
        <v>97</v>
      </c>
      <c r="C80" s="26" t="s">
        <v>232</v>
      </c>
      <c r="D80" t="s">
        <v>5</v>
      </c>
      <c r="E80" s="26" t="str">
        <f>_xlfn.XLOOKUP(D80,Lookup_Departments!$A$2:$A$7,Lookup_Departments!$B$2:$B$7,"Invalid Dept_Code",0)</f>
        <v>Marketing</v>
      </c>
      <c r="F80" s="23">
        <v>43599</v>
      </c>
      <c r="G80" s="2" t="str">
        <f>TEXT(Table1[[#This Row],[Hire Date  ]],"yyyy")</f>
        <v>2019</v>
      </c>
      <c r="H80" s="7">
        <v>88689</v>
      </c>
      <c r="I80" s="28">
        <v>94</v>
      </c>
      <c r="J80" s="4">
        <f t="shared" ca="1" si="3"/>
        <v>7</v>
      </c>
      <c r="K80" s="6" t="str" cm="1">
        <f t="array" ref="K80">_xlfn.IFS(I80&lt;=49,"Needs Improvement",I80&lt;=69,"Developing",I80&lt;=84,"Achieving",I80&lt;=94,"Exceeding",I80&lt;=100,"Outstanding")</f>
        <v>Exceeding</v>
      </c>
      <c r="L80" s="6">
        <f>_xlfn.XLOOKUP(K80,Lookup_Performance!$C$2:$C$6,Lookup_Performance!$D$2:$D$6,"N/A",0)</f>
        <v>0.08</v>
      </c>
      <c r="M80" s="30">
        <f t="shared" si="4"/>
        <v>7095.12</v>
      </c>
      <c r="N80" s="26" t="s">
        <v>18</v>
      </c>
      <c r="O80" t="str">
        <f>TRIM(CLEAN(Table1[[#This Row],[Employment Status]]))</f>
        <v>Active</v>
      </c>
    </row>
    <row r="81" spans="2:15" x14ac:dyDescent="0.25">
      <c r="B81" t="s">
        <v>98</v>
      </c>
      <c r="C81" s="26" t="s">
        <v>263</v>
      </c>
      <c r="D81" t="s">
        <v>12</v>
      </c>
      <c r="E81" s="26" t="str">
        <f>_xlfn.XLOOKUP(D81,Lookup_Departments!$A$2:$A$7,Lookup_Departments!$B$2:$B$7,"Invalid Dept_Code",0)</f>
        <v>Operations</v>
      </c>
      <c r="F81" s="23">
        <v>42330</v>
      </c>
      <c r="G81" s="2" t="str">
        <f>TEXT(Table1[[#This Row],[Hire Date  ]],"yyyy")</f>
        <v>2015</v>
      </c>
      <c r="H81" s="7">
        <v>86480</v>
      </c>
      <c r="I81" s="28">
        <v>68</v>
      </c>
      <c r="J81" s="4">
        <f t="shared" ca="1" si="3"/>
        <v>10</v>
      </c>
      <c r="K81" s="6" t="str" cm="1">
        <f t="array" ref="K81">_xlfn.IFS(I81&lt;=49,"Needs Improvement",I81&lt;=69,"Developing",I81&lt;=84,"Achieving",I81&lt;=94,"Exceeding",I81&lt;=100,"Outstanding")</f>
        <v>Developing</v>
      </c>
      <c r="L81" s="6">
        <f>_xlfn.XLOOKUP(K81,Lookup_Performance!$C$2:$C$6,Lookup_Performance!$D$2:$D$6,"N/A",0)</f>
        <v>0.02</v>
      </c>
      <c r="M81" s="30">
        <f t="shared" si="4"/>
        <v>1729.6000000000001</v>
      </c>
      <c r="N81" s="26" t="s">
        <v>18</v>
      </c>
      <c r="O81" t="str">
        <f>TRIM(CLEAN(Table1[[#This Row],[Employment Status]]))</f>
        <v>Active</v>
      </c>
    </row>
    <row r="82" spans="2:15" x14ac:dyDescent="0.25">
      <c r="B82" t="s">
        <v>99</v>
      </c>
      <c r="C82" s="26" t="s">
        <v>264</v>
      </c>
      <c r="D82" t="s">
        <v>43</v>
      </c>
      <c r="E82" s="26" t="str">
        <f>_xlfn.XLOOKUP(D82,Lookup_Departments!$A$2:$A$7,Lookup_Departments!$B$2:$B$7,"Invalid Dept_Code",0)</f>
        <v>Human Resources</v>
      </c>
      <c r="F82" s="23" t="s">
        <v>100</v>
      </c>
      <c r="G82" s="2" t="str">
        <f>TEXT(Table1[[#This Row],[Hire Date  ]],"yyyy")</f>
        <v>2018</v>
      </c>
      <c r="H82" s="7">
        <v>47694</v>
      </c>
      <c r="I82" s="28">
        <v>75</v>
      </c>
      <c r="J82" s="4">
        <f t="shared" ca="1" si="3"/>
        <v>7</v>
      </c>
      <c r="K82" s="6" t="str" cm="1">
        <f t="array" ref="K82">_xlfn.IFS(I82&lt;=49,"Needs Improvement",I82&lt;=69,"Developing",I82&lt;=84,"Achieving",I82&lt;=94,"Exceeding",I82&lt;=100,"Outstanding")</f>
        <v>Achieving</v>
      </c>
      <c r="L82" s="6">
        <f>_xlfn.XLOOKUP(K82,Lookup_Performance!$C$2:$C$6,Lookup_Performance!$D$2:$D$6,"N/A",0)</f>
        <v>0.05</v>
      </c>
      <c r="M82" s="30">
        <f t="shared" si="4"/>
        <v>2384.7000000000003</v>
      </c>
      <c r="N82" s="26" t="s">
        <v>18</v>
      </c>
      <c r="O82" t="str">
        <f>TRIM(CLEAN(Table1[[#This Row],[Employment Status]]))</f>
        <v>Active</v>
      </c>
    </row>
    <row r="83" spans="2:15" x14ac:dyDescent="0.25">
      <c r="B83" t="s">
        <v>101</v>
      </c>
      <c r="C83" s="26" t="s">
        <v>265</v>
      </c>
      <c r="D83" t="s">
        <v>3</v>
      </c>
      <c r="E83" s="26" t="str">
        <f>_xlfn.XLOOKUP(D83,Lookup_Departments!$A$2:$A$7,Lookup_Departments!$B$2:$B$7,"Invalid Dept_Code",0)</f>
        <v>Information Technology</v>
      </c>
      <c r="F83" s="23">
        <v>45171</v>
      </c>
      <c r="G83" s="2" t="str">
        <f>TEXT(Table1[[#This Row],[Hire Date  ]],"yyyy")</f>
        <v>2023</v>
      </c>
      <c r="H83" s="7">
        <v>83724</v>
      </c>
      <c r="I83" s="28">
        <v>81</v>
      </c>
      <c r="J83" s="4">
        <f t="shared" ca="1" si="3"/>
        <v>2</v>
      </c>
      <c r="K83" s="6" t="str" cm="1">
        <f t="array" ref="K83">_xlfn.IFS(I83&lt;=49,"Needs Improvement",I83&lt;=69,"Developing",I83&lt;=84,"Achieving",I83&lt;=94,"Exceeding",I83&lt;=100,"Outstanding")</f>
        <v>Achieving</v>
      </c>
      <c r="L83" s="6">
        <f>_xlfn.XLOOKUP(K83,Lookup_Performance!$C$2:$C$6,Lookup_Performance!$D$2:$D$6,"N/A",0)</f>
        <v>0.05</v>
      </c>
      <c r="M83" s="30">
        <f t="shared" si="4"/>
        <v>4186.2</v>
      </c>
      <c r="N83" s="26" t="s">
        <v>55</v>
      </c>
      <c r="O83" t="str">
        <f>TRIM(CLEAN(Table1[[#This Row],[Employment Status]]))</f>
        <v>Resigned</v>
      </c>
    </row>
    <row r="84" spans="2:15" x14ac:dyDescent="0.25">
      <c r="B84" t="s">
        <v>102</v>
      </c>
      <c r="C84" s="26" t="s">
        <v>266</v>
      </c>
      <c r="D84" t="s">
        <v>8</v>
      </c>
      <c r="E84" s="26" t="str">
        <f>_xlfn.XLOOKUP(D84,Lookup_Departments!$A$2:$A$7,Lookup_Departments!$B$2:$B$7,"Invalid Dept_Code",0)</f>
        <v>Finance</v>
      </c>
      <c r="F84" s="23">
        <v>44759</v>
      </c>
      <c r="G84" s="2" t="str">
        <f>TEXT(Table1[[#This Row],[Hire Date  ]],"yyyy")</f>
        <v>2022</v>
      </c>
      <c r="H84" s="7">
        <v>98299</v>
      </c>
      <c r="I84" s="28">
        <v>61</v>
      </c>
      <c r="J84" s="4">
        <f t="shared" ca="1" si="3"/>
        <v>3</v>
      </c>
      <c r="K84" s="6" t="str" cm="1">
        <f t="array" ref="K84">_xlfn.IFS(I84&lt;=49,"Needs Improvement",I84&lt;=69,"Developing",I84&lt;=84,"Achieving",I84&lt;=94,"Exceeding",I84&lt;=100,"Outstanding")</f>
        <v>Developing</v>
      </c>
      <c r="L84" s="6">
        <f>_xlfn.XLOOKUP(K84,Lookup_Performance!$C$2:$C$6,Lookup_Performance!$D$2:$D$6,"N/A",0)</f>
        <v>0.02</v>
      </c>
      <c r="M84" s="30">
        <f t="shared" si="4"/>
        <v>1965.98</v>
      </c>
      <c r="N84" s="26" t="s">
        <v>18</v>
      </c>
      <c r="O84" t="str">
        <f>TRIM(CLEAN(Table1[[#This Row],[Employment Status]]))</f>
        <v>Active</v>
      </c>
    </row>
    <row r="85" spans="2:15" x14ac:dyDescent="0.25">
      <c r="B85" t="s">
        <v>103</v>
      </c>
      <c r="C85" s="26" t="s">
        <v>267</v>
      </c>
      <c r="D85" t="s">
        <v>8</v>
      </c>
      <c r="E85" s="26" t="str">
        <f>_xlfn.XLOOKUP(D85,Lookup_Departments!$A$2:$A$7,Lookup_Departments!$B$2:$B$7,"Invalid Dept_Code",0)</f>
        <v>Finance</v>
      </c>
      <c r="F85" s="23">
        <v>44234</v>
      </c>
      <c r="G85" s="2" t="str">
        <f>TEXT(Table1[[#This Row],[Hire Date  ]],"yyyy")</f>
        <v>2021</v>
      </c>
      <c r="H85" s="7">
        <v>95315</v>
      </c>
      <c r="I85" s="28">
        <v>68</v>
      </c>
      <c r="J85" s="4">
        <f t="shared" ca="1" si="3"/>
        <v>5</v>
      </c>
      <c r="K85" s="6" t="str" cm="1">
        <f t="array" ref="K85">_xlfn.IFS(I85&lt;=49,"Needs Improvement",I85&lt;=69,"Developing",I85&lt;=84,"Achieving",I85&lt;=94,"Exceeding",I85&lt;=100,"Outstanding")</f>
        <v>Developing</v>
      </c>
      <c r="L85" s="6">
        <f>_xlfn.XLOOKUP(K85,Lookup_Performance!$C$2:$C$6,Lookup_Performance!$D$2:$D$6,"N/A",0)</f>
        <v>0.02</v>
      </c>
      <c r="M85" s="30">
        <f t="shared" si="4"/>
        <v>1906.3</v>
      </c>
      <c r="N85" s="26" t="s">
        <v>18</v>
      </c>
      <c r="O85" t="str">
        <f>TRIM(CLEAN(Table1[[#This Row],[Employment Status]]))</f>
        <v>Active</v>
      </c>
    </row>
    <row r="86" spans="2:15" x14ac:dyDescent="0.25">
      <c r="B86" t="s">
        <v>104</v>
      </c>
      <c r="C86" s="26" t="s">
        <v>268</v>
      </c>
      <c r="D86" t="s">
        <v>3</v>
      </c>
      <c r="E86" s="26" t="str">
        <f>_xlfn.XLOOKUP(D86,Lookup_Departments!$A$2:$A$7,Lookup_Departments!$B$2:$B$7,"Invalid Dept_Code",0)</f>
        <v>Information Technology</v>
      </c>
      <c r="F86" s="23">
        <v>45203</v>
      </c>
      <c r="G86" s="2" t="str">
        <f>TEXT(Table1[[#This Row],[Hire Date  ]],"yyyy")</f>
        <v>2023</v>
      </c>
      <c r="H86" s="7">
        <v>52287</v>
      </c>
      <c r="I86" s="28">
        <v>70</v>
      </c>
      <c r="J86" s="4">
        <f t="shared" ca="1" si="3"/>
        <v>2</v>
      </c>
      <c r="K86" s="6" t="str" cm="1">
        <f t="array" ref="K86">_xlfn.IFS(I86&lt;=49,"Needs Improvement",I86&lt;=69,"Developing",I86&lt;=84,"Achieving",I86&lt;=94,"Exceeding",I86&lt;=100,"Outstanding")</f>
        <v>Achieving</v>
      </c>
      <c r="L86" s="6">
        <f>_xlfn.XLOOKUP(K86,Lookup_Performance!$C$2:$C$6,Lookup_Performance!$D$2:$D$6,"N/A",0)</f>
        <v>0.05</v>
      </c>
      <c r="M86" s="30">
        <f t="shared" si="4"/>
        <v>2614.3500000000004</v>
      </c>
      <c r="N86" s="26" t="s">
        <v>18</v>
      </c>
      <c r="O86" t="str">
        <f>TRIM(CLEAN(Table1[[#This Row],[Employment Status]]))</f>
        <v>Active</v>
      </c>
    </row>
    <row r="87" spans="2:15" x14ac:dyDescent="0.25">
      <c r="B87" t="s">
        <v>105</v>
      </c>
      <c r="C87" s="26" t="s">
        <v>255</v>
      </c>
      <c r="D87" t="s">
        <v>3</v>
      </c>
      <c r="E87" s="26" t="str">
        <f>_xlfn.XLOOKUP(D87,Lookup_Departments!$A$2:$A$7,Lookup_Departments!$B$2:$B$7,"Invalid Dept_Code",0)</f>
        <v>Information Technology</v>
      </c>
      <c r="F87" s="23">
        <v>44073</v>
      </c>
      <c r="G87" s="2" t="str">
        <f>TEXT(Table1[[#This Row],[Hire Date  ]],"yyyy")</f>
        <v>2020</v>
      </c>
      <c r="H87" s="7">
        <v>82633</v>
      </c>
      <c r="I87" s="28">
        <v>98</v>
      </c>
      <c r="J87" s="4">
        <f t="shared" ca="1" si="3"/>
        <v>5</v>
      </c>
      <c r="K87" s="6" t="str" cm="1">
        <f t="array" ref="K87">_xlfn.IFS(I87&lt;=49,"Needs Improvement",I87&lt;=69,"Developing",I87&lt;=84,"Achieving",I87&lt;=94,"Exceeding",I87&lt;=100,"Outstanding")</f>
        <v>Outstanding</v>
      </c>
      <c r="L87" s="6">
        <f>_xlfn.XLOOKUP(K87,Lookup_Performance!$C$2:$C$6,Lookup_Performance!$D$2:$D$6,"N/A",0)</f>
        <v>0.12</v>
      </c>
      <c r="M87" s="30">
        <f t="shared" si="4"/>
        <v>9915.9599999999991</v>
      </c>
      <c r="N87" s="26" t="s">
        <v>18</v>
      </c>
      <c r="O87" t="str">
        <f>TRIM(CLEAN(Table1[[#This Row],[Employment Status]]))</f>
        <v>Active</v>
      </c>
    </row>
    <row r="88" spans="2:15" x14ac:dyDescent="0.25">
      <c r="B88" t="s">
        <v>106</v>
      </c>
      <c r="C88" s="26" t="s">
        <v>269</v>
      </c>
      <c r="D88" t="s">
        <v>12</v>
      </c>
      <c r="E88" s="26" t="str">
        <f>_xlfn.XLOOKUP(D88,Lookup_Departments!$A$2:$A$7,Lookup_Departments!$B$2:$B$7,"Invalid Dept_Code",0)</f>
        <v>Operations</v>
      </c>
      <c r="F88" s="23">
        <v>44422</v>
      </c>
      <c r="G88" s="2" t="str">
        <f>TEXT(Table1[[#This Row],[Hire Date  ]],"yyyy")</f>
        <v>2021</v>
      </c>
      <c r="H88" s="7">
        <v>46508</v>
      </c>
      <c r="I88" s="28">
        <v>34</v>
      </c>
      <c r="J88" s="4">
        <f t="shared" ca="1" si="3"/>
        <v>4</v>
      </c>
      <c r="K88" s="6" t="str" cm="1">
        <f t="array" ref="K88">_xlfn.IFS(I88&lt;=49,"Needs Improvement",I88&lt;=69,"Developing",I88&lt;=84,"Achieving",I88&lt;=94,"Exceeding",I88&lt;=100,"Outstanding")</f>
        <v>Needs Improvement</v>
      </c>
      <c r="L88" s="6">
        <f>_xlfn.XLOOKUP(K88,Lookup_Performance!$C$2:$C$6,Lookup_Performance!$D$2:$D$6,"N/A",0)</f>
        <v>0</v>
      </c>
      <c r="M88" s="30">
        <f t="shared" si="4"/>
        <v>0</v>
      </c>
      <c r="N88" s="26" t="s">
        <v>18</v>
      </c>
      <c r="O88" t="str">
        <f>TRIM(CLEAN(Table1[[#This Row],[Employment Status]]))</f>
        <v>Active</v>
      </c>
    </row>
    <row r="89" spans="2:15" x14ac:dyDescent="0.25">
      <c r="B89" t="s">
        <v>107</v>
      </c>
      <c r="C89" s="26" t="s">
        <v>199</v>
      </c>
      <c r="D89" t="s">
        <v>43</v>
      </c>
      <c r="E89" s="26" t="str">
        <f>_xlfn.XLOOKUP(D89,Lookup_Departments!$A$2:$A$7,Lookup_Departments!$B$2:$B$7,"Invalid Dept_Code",0)</f>
        <v>Human Resources</v>
      </c>
      <c r="F89" s="23">
        <v>43796</v>
      </c>
      <c r="G89" s="2" t="str">
        <f>TEXT(Table1[[#This Row],[Hire Date  ]],"yyyy")</f>
        <v>2019</v>
      </c>
      <c r="H89" s="7">
        <v>86232</v>
      </c>
      <c r="I89" s="28">
        <v>93</v>
      </c>
      <c r="J89" s="4">
        <f t="shared" ca="1" si="3"/>
        <v>6</v>
      </c>
      <c r="K89" s="6" t="str" cm="1">
        <f t="array" ref="K89">_xlfn.IFS(I89&lt;=49,"Needs Improvement",I89&lt;=69,"Developing",I89&lt;=84,"Achieving",I89&lt;=94,"Exceeding",I89&lt;=100,"Outstanding")</f>
        <v>Exceeding</v>
      </c>
      <c r="L89" s="6">
        <f>_xlfn.XLOOKUP(K89,Lookup_Performance!$C$2:$C$6,Lookup_Performance!$D$2:$D$6,"N/A",0)</f>
        <v>0.08</v>
      </c>
      <c r="M89" s="30">
        <f t="shared" si="4"/>
        <v>6898.56</v>
      </c>
      <c r="N89" s="26" t="s">
        <v>18</v>
      </c>
      <c r="O89" t="str">
        <f>TRIM(CLEAN(Table1[[#This Row],[Employment Status]]))</f>
        <v>Active</v>
      </c>
    </row>
    <row r="90" spans="2:15" x14ac:dyDescent="0.25">
      <c r="B90" t="s">
        <v>108</v>
      </c>
      <c r="C90" s="26" t="s">
        <v>243</v>
      </c>
      <c r="D90" t="s">
        <v>3</v>
      </c>
      <c r="E90" s="26" t="str">
        <f>_xlfn.XLOOKUP(D90,Lookup_Departments!$A$2:$A$7,Lookup_Departments!$B$2:$B$7,"Invalid Dept_Code",0)</f>
        <v>Information Technology</v>
      </c>
      <c r="F90" s="23">
        <v>42880</v>
      </c>
      <c r="G90" s="2" t="str">
        <f>TEXT(Table1[[#This Row],[Hire Date  ]],"yyyy")</f>
        <v>2017</v>
      </c>
      <c r="H90" s="7">
        <v>77545</v>
      </c>
      <c r="I90" s="28">
        <v>48</v>
      </c>
      <c r="J90" s="4">
        <f t="shared" ca="1" si="3"/>
        <v>9</v>
      </c>
      <c r="K90" s="6" t="str" cm="1">
        <f t="array" ref="K90">_xlfn.IFS(I90&lt;=49,"Needs Improvement",I90&lt;=69,"Developing",I90&lt;=84,"Achieving",I90&lt;=94,"Exceeding",I90&lt;=100,"Outstanding")</f>
        <v>Needs Improvement</v>
      </c>
      <c r="L90" s="6">
        <f>_xlfn.XLOOKUP(K90,Lookup_Performance!$C$2:$C$6,Lookup_Performance!$D$2:$D$6,"N/A",0)</f>
        <v>0</v>
      </c>
      <c r="M90" s="30">
        <f t="shared" si="4"/>
        <v>0</v>
      </c>
      <c r="N90" s="26" t="s">
        <v>18</v>
      </c>
      <c r="O90" t="str">
        <f>TRIM(CLEAN(Table1[[#This Row],[Employment Status]]))</f>
        <v>Active</v>
      </c>
    </row>
    <row r="91" spans="2:15" x14ac:dyDescent="0.25">
      <c r="B91" t="s">
        <v>109</v>
      </c>
      <c r="C91" s="26" t="s">
        <v>270</v>
      </c>
      <c r="D91" t="s">
        <v>12</v>
      </c>
      <c r="E91" s="26" t="str">
        <f>_xlfn.XLOOKUP(D91,Lookup_Departments!$A$2:$A$7,Lookup_Departments!$B$2:$B$7,"Invalid Dept_Code",0)</f>
        <v>Operations</v>
      </c>
      <c r="F91" s="23">
        <v>43436</v>
      </c>
      <c r="G91" s="2" t="str">
        <f>TEXT(Table1[[#This Row],[Hire Date  ]],"yyyy")</f>
        <v>2018</v>
      </c>
      <c r="H91" s="7">
        <v>68683</v>
      </c>
      <c r="I91" s="28">
        <v>90</v>
      </c>
      <c r="J91" s="4">
        <f t="shared" ca="1" si="3"/>
        <v>7</v>
      </c>
      <c r="K91" s="6" t="str" cm="1">
        <f t="array" ref="K91">_xlfn.IFS(I91&lt;=49,"Needs Improvement",I91&lt;=69,"Developing",I91&lt;=84,"Achieving",I91&lt;=94,"Exceeding",I91&lt;=100,"Outstanding")</f>
        <v>Exceeding</v>
      </c>
      <c r="L91" s="6">
        <f>_xlfn.XLOOKUP(K91,Lookup_Performance!$C$2:$C$6,Lookup_Performance!$D$2:$D$6,"N/A",0)</f>
        <v>0.08</v>
      </c>
      <c r="M91" s="30">
        <f t="shared" si="4"/>
        <v>5494.64</v>
      </c>
      <c r="N91" s="26" t="s">
        <v>18</v>
      </c>
      <c r="O91" t="str">
        <f>TRIM(CLEAN(Table1[[#This Row],[Employment Status]]))</f>
        <v>Active</v>
      </c>
    </row>
    <row r="92" spans="2:15" x14ac:dyDescent="0.25">
      <c r="B92" t="s">
        <v>110</v>
      </c>
      <c r="C92" s="26" t="s">
        <v>253</v>
      </c>
      <c r="D92" t="s">
        <v>8</v>
      </c>
      <c r="E92" s="26" t="str">
        <f>_xlfn.XLOOKUP(D92,Lookup_Departments!$A$2:$A$7,Lookup_Departments!$B$2:$B$7,"Invalid Dept_Code",0)</f>
        <v>Finance</v>
      </c>
      <c r="F92" s="23">
        <v>43639</v>
      </c>
      <c r="G92" s="2" t="str">
        <f>TEXT(Table1[[#This Row],[Hire Date  ]],"yyyy")</f>
        <v>2019</v>
      </c>
      <c r="H92" s="7">
        <v>83932</v>
      </c>
      <c r="I92" s="28">
        <v>57</v>
      </c>
      <c r="J92" s="4">
        <f t="shared" ca="1" si="3"/>
        <v>7</v>
      </c>
      <c r="K92" s="6" t="str" cm="1">
        <f t="array" ref="K92">_xlfn.IFS(I92&lt;=49,"Needs Improvement",I92&lt;=69,"Developing",I92&lt;=84,"Achieving",I92&lt;=94,"Exceeding",I92&lt;=100,"Outstanding")</f>
        <v>Developing</v>
      </c>
      <c r="L92" s="6">
        <f>_xlfn.XLOOKUP(K92,Lookup_Performance!$C$2:$C$6,Lookup_Performance!$D$2:$D$6,"N/A",0)</f>
        <v>0.02</v>
      </c>
      <c r="M92" s="30">
        <f t="shared" si="4"/>
        <v>1678.64</v>
      </c>
      <c r="N92" s="26" t="s">
        <v>10</v>
      </c>
      <c r="O92" t="str">
        <f>TRIM(CLEAN(Table1[[#This Row],[Employment Status]]))</f>
        <v>Left</v>
      </c>
    </row>
    <row r="93" spans="2:15" x14ac:dyDescent="0.25">
      <c r="B93" t="s">
        <v>111</v>
      </c>
      <c r="C93" s="26" t="s">
        <v>271</v>
      </c>
      <c r="D93" t="s">
        <v>43</v>
      </c>
      <c r="E93" s="26" t="str">
        <f>_xlfn.XLOOKUP(D93,Lookup_Departments!$A$2:$A$7,Lookup_Departments!$B$2:$B$7,"Invalid Dept_Code",0)</f>
        <v>Human Resources</v>
      </c>
      <c r="F93" s="23">
        <v>42304</v>
      </c>
      <c r="G93" s="2" t="str">
        <f>TEXT(Table1[[#This Row],[Hire Date  ]],"yyyy")</f>
        <v>2015</v>
      </c>
      <c r="H93" s="7">
        <v>56073</v>
      </c>
      <c r="I93" s="28">
        <v>79</v>
      </c>
      <c r="J93" s="4">
        <f t="shared" ca="1" si="3"/>
        <v>10</v>
      </c>
      <c r="K93" s="6" t="str" cm="1">
        <f t="array" ref="K93">_xlfn.IFS(I93&lt;=49,"Needs Improvement",I93&lt;=69,"Developing",I93&lt;=84,"Achieving",I93&lt;=94,"Exceeding",I93&lt;=100,"Outstanding")</f>
        <v>Achieving</v>
      </c>
      <c r="L93" s="6">
        <f>_xlfn.XLOOKUP(K93,Lookup_Performance!$C$2:$C$6,Lookup_Performance!$D$2:$D$6,"N/A",0)</f>
        <v>0.05</v>
      </c>
      <c r="M93" s="30">
        <f t="shared" si="4"/>
        <v>2803.65</v>
      </c>
      <c r="N93" s="26" t="s">
        <v>18</v>
      </c>
      <c r="O93" t="str">
        <f>TRIM(CLEAN(Table1[[#This Row],[Employment Status]]))</f>
        <v>Active</v>
      </c>
    </row>
    <row r="94" spans="2:15" x14ac:dyDescent="0.25">
      <c r="B94" t="s">
        <v>112</v>
      </c>
      <c r="C94" s="26" t="s">
        <v>239</v>
      </c>
      <c r="D94" t="s">
        <v>3</v>
      </c>
      <c r="E94" s="26" t="str">
        <f>_xlfn.XLOOKUP(D94,Lookup_Departments!$A$2:$A$7,Lookup_Departments!$B$2:$B$7,"Invalid Dept_Code",0)</f>
        <v>Information Technology</v>
      </c>
      <c r="F94" s="23">
        <v>43270</v>
      </c>
      <c r="G94" s="2" t="str">
        <f>TEXT(Table1[[#This Row],[Hire Date  ]],"yyyy")</f>
        <v>2018</v>
      </c>
      <c r="H94" s="7">
        <v>88056</v>
      </c>
      <c r="I94" s="28">
        <v>66</v>
      </c>
      <c r="J94" s="4">
        <f t="shared" ca="1" si="3"/>
        <v>8</v>
      </c>
      <c r="K94" s="6" t="str" cm="1">
        <f t="array" ref="K94">_xlfn.IFS(I94&lt;=49,"Needs Improvement",I94&lt;=69,"Developing",I94&lt;=84,"Achieving",I94&lt;=94,"Exceeding",I94&lt;=100,"Outstanding")</f>
        <v>Developing</v>
      </c>
      <c r="L94" s="6">
        <f>_xlfn.XLOOKUP(K94,Lookup_Performance!$C$2:$C$6,Lookup_Performance!$D$2:$D$6,"N/A",0)</f>
        <v>0.02</v>
      </c>
      <c r="M94" s="30">
        <f t="shared" si="4"/>
        <v>1761.1200000000001</v>
      </c>
      <c r="N94" s="26" t="s">
        <v>18</v>
      </c>
      <c r="O94" t="str">
        <f>TRIM(CLEAN(Table1[[#This Row],[Employment Status]]))</f>
        <v>Active</v>
      </c>
    </row>
    <row r="95" spans="2:15" x14ac:dyDescent="0.25">
      <c r="B95" t="s">
        <v>113</v>
      </c>
      <c r="C95" s="26" t="s">
        <v>272</v>
      </c>
      <c r="D95" t="s">
        <v>12</v>
      </c>
      <c r="E95" s="26" t="str">
        <f>_xlfn.XLOOKUP(D95,Lookup_Departments!$A$2:$A$7,Lookup_Departments!$B$2:$B$7,"Invalid Dept_Code",0)</f>
        <v>Operations</v>
      </c>
      <c r="F95" s="23">
        <v>43112</v>
      </c>
      <c r="G95" s="2" t="str">
        <f>TEXT(Table1[[#This Row],[Hire Date  ]],"yyyy")</f>
        <v>2018</v>
      </c>
      <c r="H95" s="7">
        <v>67414</v>
      </c>
      <c r="I95" s="28">
        <v>84</v>
      </c>
      <c r="J95" s="4">
        <f t="shared" ca="1" si="3"/>
        <v>8</v>
      </c>
      <c r="K95" s="6" t="str" cm="1">
        <f t="array" ref="K95">_xlfn.IFS(I95&lt;=49,"Needs Improvement",I95&lt;=69,"Developing",I95&lt;=84,"Achieving",I95&lt;=94,"Exceeding",I95&lt;=100,"Outstanding")</f>
        <v>Achieving</v>
      </c>
      <c r="L95" s="6">
        <f>_xlfn.XLOOKUP(K95,Lookup_Performance!$C$2:$C$6,Lookup_Performance!$D$2:$D$6,"N/A",0)</f>
        <v>0.05</v>
      </c>
      <c r="M95" s="30">
        <f t="shared" si="4"/>
        <v>3370.7000000000003</v>
      </c>
      <c r="N95" s="26" t="s">
        <v>10</v>
      </c>
      <c r="O95" t="str">
        <f>TRIM(CLEAN(Table1[[#This Row],[Employment Status]]))</f>
        <v>Left</v>
      </c>
    </row>
    <row r="96" spans="2:15" x14ac:dyDescent="0.25">
      <c r="B96" t="s">
        <v>114</v>
      </c>
      <c r="C96" s="26" t="s">
        <v>270</v>
      </c>
      <c r="D96" t="s">
        <v>17</v>
      </c>
      <c r="E96" s="26" t="str">
        <f>_xlfn.XLOOKUP(D96,Lookup_Departments!$A$2:$A$7,Lookup_Departments!$B$2:$B$7,"Invalid Dept_Code",0)</f>
        <v>Sales</v>
      </c>
      <c r="F96" s="23">
        <v>42008</v>
      </c>
      <c r="G96" s="2" t="str">
        <f>TEXT(Table1[[#This Row],[Hire Date  ]],"yyyy")</f>
        <v>2015</v>
      </c>
      <c r="H96" s="7">
        <v>115288</v>
      </c>
      <c r="I96" s="28">
        <v>61</v>
      </c>
      <c r="J96" s="4">
        <f t="shared" ca="1" si="3"/>
        <v>11</v>
      </c>
      <c r="K96" s="6" t="str" cm="1">
        <f t="array" ref="K96">_xlfn.IFS(I96&lt;=49,"Needs Improvement",I96&lt;=69,"Developing",I96&lt;=84,"Achieving",I96&lt;=94,"Exceeding",I96&lt;=100,"Outstanding")</f>
        <v>Developing</v>
      </c>
      <c r="L96" s="6">
        <f>_xlfn.XLOOKUP(K96,Lookup_Performance!$C$2:$C$6,Lookup_Performance!$D$2:$D$6,"N/A",0)</f>
        <v>0.02</v>
      </c>
      <c r="M96" s="30">
        <f t="shared" si="4"/>
        <v>2305.7600000000002</v>
      </c>
      <c r="N96" s="26" t="s">
        <v>18</v>
      </c>
      <c r="O96" t="str">
        <f>TRIM(CLEAN(Table1[[#This Row],[Employment Status]]))</f>
        <v>Active</v>
      </c>
    </row>
    <row r="97" spans="2:15" x14ac:dyDescent="0.25">
      <c r="B97" t="s">
        <v>115</v>
      </c>
      <c r="C97" s="26" t="s">
        <v>273</v>
      </c>
      <c r="D97" t="s">
        <v>17</v>
      </c>
      <c r="E97" s="26" t="str">
        <f>_xlfn.XLOOKUP(D97,Lookup_Departments!$A$2:$A$7,Lookup_Departments!$B$2:$B$7,"Invalid Dept_Code",0)</f>
        <v>Sales</v>
      </c>
      <c r="F97" s="23">
        <v>43439</v>
      </c>
      <c r="G97" s="2" t="str">
        <f>TEXT(Table1[[#This Row],[Hire Date  ]],"yyyy")</f>
        <v>2018</v>
      </c>
      <c r="H97" s="7">
        <v>80140</v>
      </c>
      <c r="I97" s="28">
        <v>58</v>
      </c>
      <c r="J97" s="4">
        <f t="shared" ca="1" si="3"/>
        <v>7</v>
      </c>
      <c r="K97" s="6" t="str" cm="1">
        <f t="array" ref="K97">_xlfn.IFS(I97&lt;=49,"Needs Improvement",I97&lt;=69,"Developing",I97&lt;=84,"Achieving",I97&lt;=94,"Exceeding",I97&lt;=100,"Outstanding")</f>
        <v>Developing</v>
      </c>
      <c r="L97" s="6">
        <f>_xlfn.XLOOKUP(K97,Lookup_Performance!$C$2:$C$6,Lookup_Performance!$D$2:$D$6,"N/A",0)</f>
        <v>0.02</v>
      </c>
      <c r="M97" s="30">
        <f t="shared" si="4"/>
        <v>1602.8</v>
      </c>
      <c r="N97" s="26" t="s">
        <v>18</v>
      </c>
      <c r="O97" t="str">
        <f>TRIM(CLEAN(Table1[[#This Row],[Employment Status]]))</f>
        <v>Active</v>
      </c>
    </row>
    <row r="98" spans="2:15" x14ac:dyDescent="0.25">
      <c r="B98" t="s">
        <v>116</v>
      </c>
      <c r="C98" s="26" t="s">
        <v>268</v>
      </c>
      <c r="D98" t="s">
        <v>3</v>
      </c>
      <c r="E98" s="26" t="str">
        <f>_xlfn.XLOOKUP(D98,Lookup_Departments!$A$2:$A$7,Lookup_Departments!$B$2:$B$7,"Invalid Dept_Code",0)</f>
        <v>Information Technology</v>
      </c>
      <c r="F98" s="23">
        <v>44482</v>
      </c>
      <c r="G98" s="2" t="str">
        <f>TEXT(Table1[[#This Row],[Hire Date  ]],"yyyy")</f>
        <v>2021</v>
      </c>
      <c r="H98" s="7">
        <v>73087</v>
      </c>
      <c r="I98" s="28">
        <v>69</v>
      </c>
      <c r="J98" s="4">
        <f t="shared" ref="J98:J129" ca="1" si="5">DATEDIF(F98,TODAY(),"Y")</f>
        <v>4</v>
      </c>
      <c r="K98" s="6" t="str" cm="1">
        <f t="array" ref="K98">_xlfn.IFS(I98&lt;=49,"Needs Improvement",I98&lt;=69,"Developing",I98&lt;=84,"Achieving",I98&lt;=94,"Exceeding",I98&lt;=100,"Outstanding")</f>
        <v>Developing</v>
      </c>
      <c r="L98" s="6">
        <f>_xlfn.XLOOKUP(K98,Lookup_Performance!$C$2:$C$6,Lookup_Performance!$D$2:$D$6,"N/A",0)</f>
        <v>0.02</v>
      </c>
      <c r="M98" s="30">
        <f t="shared" si="4"/>
        <v>1461.74</v>
      </c>
      <c r="N98" s="26" t="s">
        <v>18</v>
      </c>
      <c r="O98" t="str">
        <f>TRIM(CLEAN(Table1[[#This Row],[Employment Status]]))</f>
        <v>Active</v>
      </c>
    </row>
    <row r="99" spans="2:15" x14ac:dyDescent="0.25">
      <c r="B99" t="s">
        <v>117</v>
      </c>
      <c r="C99" s="26" t="s">
        <v>274</v>
      </c>
      <c r="D99" t="s">
        <v>17</v>
      </c>
      <c r="E99" s="26" t="str">
        <f>_xlfn.XLOOKUP(D99,Lookup_Departments!$A$2:$A$7,Lookup_Departments!$B$2:$B$7,"Invalid Dept_Code",0)</f>
        <v>Sales</v>
      </c>
      <c r="F99" s="23">
        <v>44081</v>
      </c>
      <c r="G99" s="2" t="str">
        <f>TEXT(Table1[[#This Row],[Hire Date  ]],"yyyy")</f>
        <v>2020</v>
      </c>
      <c r="H99" s="7">
        <v>95292</v>
      </c>
      <c r="I99" s="28">
        <v>34</v>
      </c>
      <c r="J99" s="4">
        <f t="shared" ca="1" si="5"/>
        <v>5</v>
      </c>
      <c r="K99" s="6" t="str" cm="1">
        <f t="array" ref="K99">_xlfn.IFS(I99&lt;=49,"Needs Improvement",I99&lt;=69,"Developing",I99&lt;=84,"Achieving",I99&lt;=94,"Exceeding",I99&lt;=100,"Outstanding")</f>
        <v>Needs Improvement</v>
      </c>
      <c r="L99" s="6">
        <f>_xlfn.XLOOKUP(K99,Lookup_Performance!$C$2:$C$6,Lookup_Performance!$D$2:$D$6,"N/A",0)</f>
        <v>0</v>
      </c>
      <c r="M99" s="30">
        <f t="shared" si="4"/>
        <v>0</v>
      </c>
      <c r="N99" s="26" t="s">
        <v>18</v>
      </c>
      <c r="O99" t="str">
        <f>TRIM(CLEAN(Table1[[#This Row],[Employment Status]]))</f>
        <v>Active</v>
      </c>
    </row>
    <row r="100" spans="2:15" x14ac:dyDescent="0.25">
      <c r="B100" t="s">
        <v>118</v>
      </c>
      <c r="C100" s="26" t="s">
        <v>275</v>
      </c>
      <c r="D100" t="s">
        <v>3</v>
      </c>
      <c r="E100" s="26" t="str">
        <f>_xlfn.XLOOKUP(D100,Lookup_Departments!$A$2:$A$7,Lookup_Departments!$B$2:$B$7,"Invalid Dept_Code",0)</f>
        <v>Information Technology</v>
      </c>
      <c r="F100" s="23" t="s">
        <v>119</v>
      </c>
      <c r="G100" s="2" t="str">
        <f>TEXT(Table1[[#This Row],[Hire Date  ]],"yyyy")</f>
        <v>2019</v>
      </c>
      <c r="H100" s="7">
        <v>74560</v>
      </c>
      <c r="I100" s="28">
        <v>33</v>
      </c>
      <c r="J100" s="4">
        <f t="shared" ca="1" si="5"/>
        <v>7</v>
      </c>
      <c r="K100" s="6" t="str" cm="1">
        <f t="array" ref="K100">_xlfn.IFS(I100&lt;=49,"Needs Improvement",I100&lt;=69,"Developing",I100&lt;=84,"Achieving",I100&lt;=94,"Exceeding",I100&lt;=100,"Outstanding")</f>
        <v>Needs Improvement</v>
      </c>
      <c r="L100" s="6">
        <f>_xlfn.XLOOKUP(K100,Lookup_Performance!$C$2:$C$6,Lookup_Performance!$D$2:$D$6,"N/A",0)</f>
        <v>0</v>
      </c>
      <c r="M100" s="30">
        <f t="shared" si="4"/>
        <v>0</v>
      </c>
      <c r="N100" s="26" t="s">
        <v>18</v>
      </c>
      <c r="O100" t="str">
        <f>TRIM(CLEAN(Table1[[#This Row],[Employment Status]]))</f>
        <v>Active</v>
      </c>
    </row>
    <row r="101" spans="2:15" x14ac:dyDescent="0.25">
      <c r="B101" t="s">
        <v>120</v>
      </c>
      <c r="C101" s="26" t="s">
        <v>276</v>
      </c>
      <c r="D101" t="s">
        <v>5</v>
      </c>
      <c r="E101" s="26" t="str">
        <f>_xlfn.XLOOKUP(D101,Lookup_Departments!$A$2:$A$7,Lookup_Departments!$B$2:$B$7,"Invalid Dept_Code",0)</f>
        <v>Marketing</v>
      </c>
      <c r="F101" s="23">
        <v>42074</v>
      </c>
      <c r="G101" s="2" t="str">
        <f>TEXT(Table1[[#This Row],[Hire Date  ]],"yyyy")</f>
        <v>2015</v>
      </c>
      <c r="H101" s="7">
        <v>101750</v>
      </c>
      <c r="I101" s="28">
        <v>84</v>
      </c>
      <c r="J101" s="4">
        <f t="shared" ca="1" si="5"/>
        <v>11</v>
      </c>
      <c r="K101" s="6" t="str" cm="1">
        <f t="array" ref="K101">_xlfn.IFS(I101&lt;=49,"Needs Improvement",I101&lt;=69,"Developing",I101&lt;=84,"Achieving",I101&lt;=94,"Exceeding",I101&lt;=100,"Outstanding")</f>
        <v>Achieving</v>
      </c>
      <c r="L101" s="6">
        <f>_xlfn.XLOOKUP(K101,Lookup_Performance!$C$2:$C$6,Lookup_Performance!$D$2:$D$6,"N/A",0)</f>
        <v>0.05</v>
      </c>
      <c r="M101" s="30">
        <f t="shared" si="4"/>
        <v>5087.5</v>
      </c>
      <c r="N101" s="26" t="s">
        <v>10</v>
      </c>
      <c r="O101" t="str">
        <f>TRIM(CLEAN(Table1[[#This Row],[Employment Status]]))</f>
        <v>Left</v>
      </c>
    </row>
    <row r="102" spans="2:15" x14ac:dyDescent="0.25">
      <c r="B102" t="s">
        <v>121</v>
      </c>
      <c r="C102" s="26" t="s">
        <v>277</v>
      </c>
      <c r="D102" t="s">
        <v>5</v>
      </c>
      <c r="E102" s="26" t="str">
        <f>_xlfn.XLOOKUP(D102,Lookup_Departments!$A$2:$A$7,Lookup_Departments!$B$2:$B$7,"Invalid Dept_Code",0)</f>
        <v>Marketing</v>
      </c>
      <c r="F102" s="23">
        <v>42785</v>
      </c>
      <c r="G102" s="2" t="str">
        <f>TEXT(Table1[[#This Row],[Hire Date  ]],"yyyy")</f>
        <v>2017</v>
      </c>
      <c r="H102" s="7">
        <v>82992</v>
      </c>
      <c r="I102" s="28">
        <v>79</v>
      </c>
      <c r="J102" s="4">
        <f t="shared" ca="1" si="5"/>
        <v>9</v>
      </c>
      <c r="K102" s="6" t="str" cm="1">
        <f t="array" ref="K102">_xlfn.IFS(I102&lt;=49,"Needs Improvement",I102&lt;=69,"Developing",I102&lt;=84,"Achieving",I102&lt;=94,"Exceeding",I102&lt;=100,"Outstanding")</f>
        <v>Achieving</v>
      </c>
      <c r="L102" s="6">
        <f>_xlfn.XLOOKUP(K102,Lookup_Performance!$C$2:$C$6,Lookup_Performance!$D$2:$D$6,"N/A",0)</f>
        <v>0.05</v>
      </c>
      <c r="M102" s="30">
        <f t="shared" si="4"/>
        <v>4149.6000000000004</v>
      </c>
      <c r="N102" s="26" t="s">
        <v>18</v>
      </c>
      <c r="O102" t="str">
        <f>TRIM(CLEAN(Table1[[#This Row],[Employment Status]]))</f>
        <v>Active</v>
      </c>
    </row>
    <row r="103" spans="2:15" x14ac:dyDescent="0.25">
      <c r="B103" t="s">
        <v>122</v>
      </c>
      <c r="C103" s="26" t="s">
        <v>278</v>
      </c>
      <c r="D103" t="s">
        <v>3</v>
      </c>
      <c r="E103" s="26" t="str">
        <f>_xlfn.XLOOKUP(D103,Lookup_Departments!$A$2:$A$7,Lookup_Departments!$B$2:$B$7,"Invalid Dept_Code",0)</f>
        <v>Information Technology</v>
      </c>
      <c r="F103" s="23">
        <v>45055</v>
      </c>
      <c r="G103" s="2" t="str">
        <f>TEXT(Table1[[#This Row],[Hire Date  ]],"yyyy")</f>
        <v>2023</v>
      </c>
      <c r="H103" s="7">
        <v>49942</v>
      </c>
      <c r="I103" s="28">
        <v>51</v>
      </c>
      <c r="J103" s="4">
        <f t="shared" ca="1" si="5"/>
        <v>3</v>
      </c>
      <c r="K103" s="6" t="str" cm="1">
        <f t="array" ref="K103">_xlfn.IFS(I103&lt;=49,"Needs Improvement",I103&lt;=69,"Developing",I103&lt;=84,"Achieving",I103&lt;=94,"Exceeding",I103&lt;=100,"Outstanding")</f>
        <v>Developing</v>
      </c>
      <c r="L103" s="6">
        <f>_xlfn.XLOOKUP(K103,Lookup_Performance!$C$2:$C$6,Lookup_Performance!$D$2:$D$6,"N/A",0)</f>
        <v>0.02</v>
      </c>
      <c r="M103" s="30">
        <f t="shared" si="4"/>
        <v>998.84</v>
      </c>
      <c r="N103" s="26" t="s">
        <v>18</v>
      </c>
      <c r="O103" t="str">
        <f>TRIM(CLEAN(Table1[[#This Row],[Employment Status]]))</f>
        <v>Active</v>
      </c>
    </row>
    <row r="104" spans="2:15" x14ac:dyDescent="0.25">
      <c r="B104" t="s">
        <v>123</v>
      </c>
      <c r="C104" s="26" t="s">
        <v>279</v>
      </c>
      <c r="D104" t="s">
        <v>12</v>
      </c>
      <c r="E104" s="26" t="str">
        <f>_xlfn.XLOOKUP(D104,Lookup_Departments!$A$2:$A$7,Lookup_Departments!$B$2:$B$7,"Invalid Dept_Code",0)</f>
        <v>Operations</v>
      </c>
      <c r="F104" s="23">
        <v>43122</v>
      </c>
      <c r="G104" s="2" t="str">
        <f>TEXT(Table1[[#This Row],[Hire Date  ]],"yyyy")</f>
        <v>2018</v>
      </c>
      <c r="H104" s="7">
        <v>89060</v>
      </c>
      <c r="I104" s="28">
        <v>58</v>
      </c>
      <c r="J104" s="4">
        <f t="shared" ca="1" si="5"/>
        <v>8</v>
      </c>
      <c r="K104" s="6" t="str" cm="1">
        <f t="array" ref="K104">_xlfn.IFS(I104&lt;=49,"Needs Improvement",I104&lt;=69,"Developing",I104&lt;=84,"Achieving",I104&lt;=94,"Exceeding",I104&lt;=100,"Outstanding")</f>
        <v>Developing</v>
      </c>
      <c r="L104" s="6">
        <f>_xlfn.XLOOKUP(K104,Lookup_Performance!$C$2:$C$6,Lookup_Performance!$D$2:$D$6,"N/A",0)</f>
        <v>0.02</v>
      </c>
      <c r="M104" s="30">
        <f t="shared" si="4"/>
        <v>1781.2</v>
      </c>
      <c r="N104" s="26" t="s">
        <v>18</v>
      </c>
      <c r="O104" t="str">
        <f>TRIM(CLEAN(Table1[[#This Row],[Employment Status]]))</f>
        <v>Active</v>
      </c>
    </row>
    <row r="105" spans="2:15" x14ac:dyDescent="0.25">
      <c r="B105" t="s">
        <v>124</v>
      </c>
      <c r="C105" s="26" t="s">
        <v>259</v>
      </c>
      <c r="D105" t="s">
        <v>3</v>
      </c>
      <c r="E105" s="26" t="str">
        <f>_xlfn.XLOOKUP(D105,Lookup_Departments!$A$2:$A$7,Lookup_Departments!$B$2:$B$7,"Invalid Dept_Code",0)</f>
        <v>Information Technology</v>
      </c>
      <c r="F105" s="23">
        <v>43879</v>
      </c>
      <c r="G105" s="2" t="str">
        <f>TEXT(Table1[[#This Row],[Hire Date  ]],"yyyy")</f>
        <v>2020</v>
      </c>
      <c r="H105" s="7">
        <v>53786</v>
      </c>
      <c r="I105" s="28">
        <v>98</v>
      </c>
      <c r="J105" s="4">
        <f t="shared" ca="1" si="5"/>
        <v>6</v>
      </c>
      <c r="K105" s="6" t="str" cm="1">
        <f t="array" ref="K105">_xlfn.IFS(I105&lt;=49,"Needs Improvement",I105&lt;=69,"Developing",I105&lt;=84,"Achieving",I105&lt;=94,"Exceeding",I105&lt;=100,"Outstanding")</f>
        <v>Outstanding</v>
      </c>
      <c r="L105" s="6">
        <f>_xlfn.XLOOKUP(K105,Lookup_Performance!$C$2:$C$6,Lookup_Performance!$D$2:$D$6,"N/A",0)</f>
        <v>0.12</v>
      </c>
      <c r="M105" s="30">
        <f t="shared" si="4"/>
        <v>6454.32</v>
      </c>
      <c r="N105" s="26" t="s">
        <v>18</v>
      </c>
      <c r="O105" t="str">
        <f>TRIM(CLEAN(Table1[[#This Row],[Employment Status]]))</f>
        <v>Active</v>
      </c>
    </row>
    <row r="106" spans="2:15" x14ac:dyDescent="0.25">
      <c r="B106" t="s">
        <v>125</v>
      </c>
      <c r="C106" s="26" t="s">
        <v>202</v>
      </c>
      <c r="D106" t="s">
        <v>12</v>
      </c>
      <c r="E106" s="26" t="str">
        <f>_xlfn.XLOOKUP(D106,Lookup_Departments!$A$2:$A$7,Lookup_Departments!$B$2:$B$7,"Invalid Dept_Code",0)</f>
        <v>Operations</v>
      </c>
      <c r="F106" s="23" t="s">
        <v>126</v>
      </c>
      <c r="G106" s="2" t="str">
        <f>TEXT(Table1[[#This Row],[Hire Date  ]],"yyyy")</f>
        <v>2016</v>
      </c>
      <c r="H106" s="7">
        <v>81167</v>
      </c>
      <c r="I106" s="28">
        <v>68</v>
      </c>
      <c r="J106" s="4">
        <f t="shared" ca="1" si="5"/>
        <v>10</v>
      </c>
      <c r="K106" s="6" t="str" cm="1">
        <f t="array" ref="K106">_xlfn.IFS(I106&lt;=49,"Needs Improvement",I106&lt;=69,"Developing",I106&lt;=84,"Achieving",I106&lt;=94,"Exceeding",I106&lt;=100,"Outstanding")</f>
        <v>Developing</v>
      </c>
      <c r="L106" s="6">
        <f>_xlfn.XLOOKUP(K106,Lookup_Performance!$C$2:$C$6,Lookup_Performance!$D$2:$D$6,"N/A",0)</f>
        <v>0.02</v>
      </c>
      <c r="M106" s="30">
        <f t="shared" si="4"/>
        <v>1623.3400000000001</v>
      </c>
      <c r="N106" s="26" t="s">
        <v>18</v>
      </c>
      <c r="O106" t="str">
        <f>TRIM(CLEAN(Table1[[#This Row],[Employment Status]]))</f>
        <v>Active</v>
      </c>
    </row>
    <row r="107" spans="2:15" x14ac:dyDescent="0.25">
      <c r="B107" t="s">
        <v>127</v>
      </c>
      <c r="C107" s="26" t="s">
        <v>280</v>
      </c>
      <c r="D107" t="s">
        <v>5</v>
      </c>
      <c r="E107" s="26" t="str">
        <f>_xlfn.XLOOKUP(D107,Lookup_Departments!$A$2:$A$7,Lookup_Departments!$B$2:$B$7,"Invalid Dept_Code",0)</f>
        <v>Marketing</v>
      </c>
      <c r="F107" s="23">
        <v>44349</v>
      </c>
      <c r="G107" s="2" t="str">
        <f>TEXT(Table1[[#This Row],[Hire Date  ]],"yyyy")</f>
        <v>2021</v>
      </c>
      <c r="H107" s="7">
        <v>66688</v>
      </c>
      <c r="I107" s="28">
        <v>40</v>
      </c>
      <c r="J107" s="4">
        <f t="shared" ca="1" si="5"/>
        <v>5</v>
      </c>
      <c r="K107" s="6" t="str" cm="1">
        <f t="array" ref="K107">_xlfn.IFS(I107&lt;=49,"Needs Improvement",I107&lt;=69,"Developing",I107&lt;=84,"Achieving",I107&lt;=94,"Exceeding",I107&lt;=100,"Outstanding")</f>
        <v>Needs Improvement</v>
      </c>
      <c r="L107" s="6">
        <f>_xlfn.XLOOKUP(K107,Lookup_Performance!$C$2:$C$6,Lookup_Performance!$D$2:$D$6,"N/A",0)</f>
        <v>0</v>
      </c>
      <c r="M107" s="30">
        <f t="shared" si="4"/>
        <v>0</v>
      </c>
      <c r="N107" s="26" t="s">
        <v>10</v>
      </c>
      <c r="O107" t="str">
        <f>TRIM(CLEAN(Table1[[#This Row],[Employment Status]]))</f>
        <v>Left</v>
      </c>
    </row>
    <row r="108" spans="2:15" x14ac:dyDescent="0.25">
      <c r="B108" t="s">
        <v>128</v>
      </c>
      <c r="C108" s="26" t="s">
        <v>281</v>
      </c>
      <c r="D108" t="s">
        <v>3</v>
      </c>
      <c r="E108" s="26" t="str">
        <f>_xlfn.XLOOKUP(D108,Lookup_Departments!$A$2:$A$7,Lookup_Departments!$B$2:$B$7,"Invalid Dept_Code",0)</f>
        <v>Information Technology</v>
      </c>
      <c r="F108" s="23">
        <v>44394</v>
      </c>
      <c r="G108" s="2" t="str">
        <f>TEXT(Table1[[#This Row],[Hire Date  ]],"yyyy")</f>
        <v>2021</v>
      </c>
      <c r="H108" s="7">
        <v>91672</v>
      </c>
      <c r="I108" s="28">
        <v>88</v>
      </c>
      <c r="J108" s="4">
        <f t="shared" ca="1" si="5"/>
        <v>4</v>
      </c>
      <c r="K108" s="6" t="str" cm="1">
        <f t="array" ref="K108">_xlfn.IFS(I108&lt;=49,"Needs Improvement",I108&lt;=69,"Developing",I108&lt;=84,"Achieving",I108&lt;=94,"Exceeding",I108&lt;=100,"Outstanding")</f>
        <v>Exceeding</v>
      </c>
      <c r="L108" s="6">
        <f>_xlfn.XLOOKUP(K108,Lookup_Performance!$C$2:$C$6,Lookup_Performance!$D$2:$D$6,"N/A",0)</f>
        <v>0.08</v>
      </c>
      <c r="M108" s="30">
        <f t="shared" si="4"/>
        <v>7333.76</v>
      </c>
      <c r="N108" s="26" t="s">
        <v>18</v>
      </c>
      <c r="O108" t="str">
        <f>TRIM(CLEAN(Table1[[#This Row],[Employment Status]]))</f>
        <v>Active</v>
      </c>
    </row>
    <row r="109" spans="2:15" x14ac:dyDescent="0.25">
      <c r="B109" t="s">
        <v>129</v>
      </c>
      <c r="C109" s="26" t="s">
        <v>282</v>
      </c>
      <c r="D109" t="s">
        <v>43</v>
      </c>
      <c r="E109" s="26" t="str">
        <f>_xlfn.XLOOKUP(D109,Lookup_Departments!$A$2:$A$7,Lookup_Departments!$B$2:$B$7,"Invalid Dept_Code",0)</f>
        <v>Human Resources</v>
      </c>
      <c r="F109" s="23">
        <v>42687</v>
      </c>
      <c r="G109" s="2" t="str">
        <f>TEXT(Table1[[#This Row],[Hire Date  ]],"yyyy")</f>
        <v>2016</v>
      </c>
      <c r="H109" s="7">
        <v>77737</v>
      </c>
      <c r="I109" s="28">
        <v>77</v>
      </c>
      <c r="J109" s="4">
        <f t="shared" ca="1" si="5"/>
        <v>9</v>
      </c>
      <c r="K109" s="6" t="str" cm="1">
        <f t="array" ref="K109">_xlfn.IFS(I109&lt;=49,"Needs Improvement",I109&lt;=69,"Developing",I109&lt;=84,"Achieving",I109&lt;=94,"Exceeding",I109&lt;=100,"Outstanding")</f>
        <v>Achieving</v>
      </c>
      <c r="L109" s="6">
        <f>_xlfn.XLOOKUP(K109,Lookup_Performance!$C$2:$C$6,Lookup_Performance!$D$2:$D$6,"N/A",0)</f>
        <v>0.05</v>
      </c>
      <c r="M109" s="30">
        <f t="shared" si="4"/>
        <v>3886.8500000000004</v>
      </c>
      <c r="N109" s="26" t="s">
        <v>18</v>
      </c>
      <c r="O109" t="str">
        <f>TRIM(CLEAN(Table1[[#This Row],[Employment Status]]))</f>
        <v>Active</v>
      </c>
    </row>
    <row r="110" spans="2:15" x14ac:dyDescent="0.25">
      <c r="B110" t="s">
        <v>130</v>
      </c>
      <c r="C110" s="26" t="s">
        <v>232</v>
      </c>
      <c r="D110" t="s">
        <v>17</v>
      </c>
      <c r="E110" s="26" t="str">
        <f>_xlfn.XLOOKUP(D110,Lookup_Departments!$A$2:$A$7,Lookup_Departments!$B$2:$B$7,"Invalid Dept_Code",0)</f>
        <v>Sales</v>
      </c>
      <c r="F110" s="23">
        <v>43513</v>
      </c>
      <c r="G110" s="2" t="str">
        <f>TEXT(Table1[[#This Row],[Hire Date  ]],"yyyy")</f>
        <v>2019</v>
      </c>
      <c r="H110" s="7">
        <v>95686</v>
      </c>
      <c r="I110" s="28">
        <v>91</v>
      </c>
      <c r="J110" s="4">
        <f t="shared" ca="1" si="5"/>
        <v>7</v>
      </c>
      <c r="K110" s="6" t="str" cm="1">
        <f t="array" ref="K110">_xlfn.IFS(I110&lt;=49,"Needs Improvement",I110&lt;=69,"Developing",I110&lt;=84,"Achieving",I110&lt;=94,"Exceeding",I110&lt;=100,"Outstanding")</f>
        <v>Exceeding</v>
      </c>
      <c r="L110" s="6">
        <f>_xlfn.XLOOKUP(K110,Lookup_Performance!$C$2:$C$6,Lookup_Performance!$D$2:$D$6,"N/A",0)</f>
        <v>0.08</v>
      </c>
      <c r="M110" s="30">
        <f t="shared" si="4"/>
        <v>7654.88</v>
      </c>
      <c r="N110" s="26" t="s">
        <v>18</v>
      </c>
      <c r="O110" t="str">
        <f>TRIM(CLEAN(Table1[[#This Row],[Employment Status]]))</f>
        <v>Active</v>
      </c>
    </row>
    <row r="111" spans="2:15" x14ac:dyDescent="0.25">
      <c r="B111" t="s">
        <v>131</v>
      </c>
      <c r="C111" s="26" t="s">
        <v>204</v>
      </c>
      <c r="D111" t="s">
        <v>17</v>
      </c>
      <c r="E111" s="26" t="str">
        <f>_xlfn.XLOOKUP(D111,Lookup_Departments!$A$2:$A$7,Lookup_Departments!$B$2:$B$7,"Invalid Dept_Code",0)</f>
        <v>Sales</v>
      </c>
      <c r="F111" s="23">
        <v>42625</v>
      </c>
      <c r="G111" s="2" t="str">
        <f>TEXT(Table1[[#This Row],[Hire Date  ]],"yyyy")</f>
        <v>2016</v>
      </c>
      <c r="H111" s="7">
        <v>114681</v>
      </c>
      <c r="I111" s="28">
        <v>36</v>
      </c>
      <c r="J111" s="4">
        <f t="shared" ca="1" si="5"/>
        <v>9</v>
      </c>
      <c r="K111" s="6" t="str" cm="1">
        <f t="array" ref="K111">_xlfn.IFS(I111&lt;=49,"Needs Improvement",I111&lt;=69,"Developing",I111&lt;=84,"Achieving",I111&lt;=94,"Exceeding",I111&lt;=100,"Outstanding")</f>
        <v>Needs Improvement</v>
      </c>
      <c r="L111" s="6">
        <f>_xlfn.XLOOKUP(K111,Lookup_Performance!$C$2:$C$6,Lookup_Performance!$D$2:$D$6,"N/A",0)</f>
        <v>0</v>
      </c>
      <c r="M111" s="30">
        <f t="shared" si="4"/>
        <v>0</v>
      </c>
      <c r="N111" s="26" t="s">
        <v>18</v>
      </c>
      <c r="O111" t="str">
        <f>TRIM(CLEAN(Table1[[#This Row],[Employment Status]]))</f>
        <v>Active</v>
      </c>
    </row>
    <row r="112" spans="2:15" x14ac:dyDescent="0.25">
      <c r="B112" t="s">
        <v>132</v>
      </c>
      <c r="C112" s="26" t="s">
        <v>253</v>
      </c>
      <c r="D112" t="s">
        <v>12</v>
      </c>
      <c r="E112" s="26" t="str">
        <f>_xlfn.XLOOKUP(D112,Lookup_Departments!$A$2:$A$7,Lookup_Departments!$B$2:$B$7,"Invalid Dept_Code",0)</f>
        <v>Operations</v>
      </c>
      <c r="F112" s="23">
        <v>44421</v>
      </c>
      <c r="G112" s="2" t="str">
        <f>TEXT(Table1[[#This Row],[Hire Date  ]],"yyyy")</f>
        <v>2021</v>
      </c>
      <c r="H112" s="7">
        <v>109121</v>
      </c>
      <c r="I112" s="28">
        <v>72</v>
      </c>
      <c r="J112" s="4">
        <f t="shared" ca="1" si="5"/>
        <v>4</v>
      </c>
      <c r="K112" s="6" t="str" cm="1">
        <f t="array" ref="K112">_xlfn.IFS(I112&lt;=49,"Needs Improvement",I112&lt;=69,"Developing",I112&lt;=84,"Achieving",I112&lt;=94,"Exceeding",I112&lt;=100,"Outstanding")</f>
        <v>Achieving</v>
      </c>
      <c r="L112" s="6">
        <f>_xlfn.XLOOKUP(K112,Lookup_Performance!$C$2:$C$6,Lookup_Performance!$D$2:$D$6,"N/A",0)</f>
        <v>0.05</v>
      </c>
      <c r="M112" s="30">
        <f t="shared" si="4"/>
        <v>5456.05</v>
      </c>
      <c r="N112" s="26" t="s">
        <v>18</v>
      </c>
      <c r="O112" t="str">
        <f>TRIM(CLEAN(Table1[[#This Row],[Employment Status]]))</f>
        <v>Active</v>
      </c>
    </row>
    <row r="113" spans="2:15" x14ac:dyDescent="0.25">
      <c r="B113" t="s">
        <v>133</v>
      </c>
      <c r="C113" s="26" t="s">
        <v>283</v>
      </c>
      <c r="D113" t="s">
        <v>5</v>
      </c>
      <c r="E113" s="26" t="str">
        <f>_xlfn.XLOOKUP(D113,Lookup_Departments!$A$2:$A$7,Lookup_Departments!$B$2:$B$7,"Invalid Dept_Code",0)</f>
        <v>Marketing</v>
      </c>
      <c r="F113" s="23">
        <v>43996</v>
      </c>
      <c r="G113" s="2" t="str">
        <f>TEXT(Table1[[#This Row],[Hire Date  ]],"yyyy")</f>
        <v>2020</v>
      </c>
      <c r="H113" s="7">
        <v>112791</v>
      </c>
      <c r="I113" s="28">
        <v>87</v>
      </c>
      <c r="J113" s="4">
        <f t="shared" ca="1" si="5"/>
        <v>6</v>
      </c>
      <c r="K113" s="6" t="str" cm="1">
        <f t="array" ref="K113">_xlfn.IFS(I113&lt;=49,"Needs Improvement",I113&lt;=69,"Developing",I113&lt;=84,"Achieving",I113&lt;=94,"Exceeding",I113&lt;=100,"Outstanding")</f>
        <v>Exceeding</v>
      </c>
      <c r="L113" s="6">
        <f>_xlfn.XLOOKUP(K113,Lookup_Performance!$C$2:$C$6,Lookup_Performance!$D$2:$D$6,"N/A",0)</f>
        <v>0.08</v>
      </c>
      <c r="M113" s="30">
        <f t="shared" si="4"/>
        <v>9023.2800000000007</v>
      </c>
      <c r="N113" s="26" t="s">
        <v>18</v>
      </c>
      <c r="O113" t="str">
        <f>TRIM(CLEAN(Table1[[#This Row],[Employment Status]]))</f>
        <v>Active</v>
      </c>
    </row>
    <row r="114" spans="2:15" x14ac:dyDescent="0.25">
      <c r="B114" t="s">
        <v>134</v>
      </c>
      <c r="C114" s="26" t="s">
        <v>284</v>
      </c>
      <c r="D114" t="s">
        <v>3</v>
      </c>
      <c r="E114" s="26" t="str">
        <f>_xlfn.XLOOKUP(D114,Lookup_Departments!$A$2:$A$7,Lookup_Departments!$B$2:$B$7,"Invalid Dept_Code",0)</f>
        <v>Information Technology</v>
      </c>
      <c r="F114" s="23">
        <v>8222</v>
      </c>
      <c r="G114" s="2" t="str">
        <f>TEXT(Table1[[#This Row],[Hire Date  ]],"yyyy")</f>
        <v>1922</v>
      </c>
      <c r="H114" s="7">
        <v>118008</v>
      </c>
      <c r="I114" s="28">
        <v>71</v>
      </c>
      <c r="J114" s="4">
        <f t="shared" ca="1" si="5"/>
        <v>104</v>
      </c>
      <c r="K114" s="6" t="str" cm="1">
        <f t="array" ref="K114">_xlfn.IFS(I114&lt;=49,"Needs Improvement",I114&lt;=69,"Developing",I114&lt;=84,"Achieving",I114&lt;=94,"Exceeding",I114&lt;=100,"Outstanding")</f>
        <v>Achieving</v>
      </c>
      <c r="L114" s="6">
        <f>_xlfn.XLOOKUP(K114,Lookup_Performance!$C$2:$C$6,Lookup_Performance!$D$2:$D$6,"N/A",0)</f>
        <v>0.05</v>
      </c>
      <c r="M114" s="30">
        <f t="shared" si="4"/>
        <v>5900.4000000000005</v>
      </c>
      <c r="N114" s="26" t="s">
        <v>18</v>
      </c>
      <c r="O114" t="str">
        <f>TRIM(CLEAN(Table1[[#This Row],[Employment Status]]))</f>
        <v>Active</v>
      </c>
    </row>
    <row r="115" spans="2:15" x14ac:dyDescent="0.25">
      <c r="B115" t="s">
        <v>135</v>
      </c>
      <c r="C115" s="26" t="s">
        <v>272</v>
      </c>
      <c r="D115" t="s">
        <v>3</v>
      </c>
      <c r="E115" s="26" t="str">
        <f>_xlfn.XLOOKUP(D115,Lookup_Departments!$A$2:$A$7,Lookup_Departments!$B$2:$B$7,"Invalid Dept_Code",0)</f>
        <v>Information Technology</v>
      </c>
      <c r="F115" s="23" t="s">
        <v>136</v>
      </c>
      <c r="G115" s="2" t="str">
        <f>TEXT(Table1[[#This Row],[Hire Date  ]],"yyyy")</f>
        <v>2016</v>
      </c>
      <c r="H115" s="7">
        <v>74370</v>
      </c>
      <c r="I115" s="28">
        <v>82</v>
      </c>
      <c r="J115" s="4">
        <f t="shared" ca="1" si="5"/>
        <v>10</v>
      </c>
      <c r="K115" s="6" t="str" cm="1">
        <f t="array" ref="K115">_xlfn.IFS(I115&lt;=49,"Needs Improvement",I115&lt;=69,"Developing",I115&lt;=84,"Achieving",I115&lt;=94,"Exceeding",I115&lt;=100,"Outstanding")</f>
        <v>Achieving</v>
      </c>
      <c r="L115" s="6">
        <f>_xlfn.XLOOKUP(K115,Lookup_Performance!$C$2:$C$6,Lookup_Performance!$D$2:$D$6,"N/A",0)</f>
        <v>0.05</v>
      </c>
      <c r="M115" s="30">
        <f t="shared" si="4"/>
        <v>3718.5</v>
      </c>
      <c r="N115" s="26" t="s">
        <v>18</v>
      </c>
      <c r="O115" t="str">
        <f>TRIM(CLEAN(Table1[[#This Row],[Employment Status]]))</f>
        <v>Active</v>
      </c>
    </row>
    <row r="116" spans="2:15" x14ac:dyDescent="0.25">
      <c r="B116" t="s">
        <v>137</v>
      </c>
      <c r="C116" s="26" t="s">
        <v>285</v>
      </c>
      <c r="D116" t="s">
        <v>3</v>
      </c>
      <c r="E116" s="26" t="str">
        <f>_xlfn.XLOOKUP(D116,Lookup_Departments!$A$2:$A$7,Lookup_Departments!$B$2:$B$7,"Invalid Dept_Code",0)</f>
        <v>Information Technology</v>
      </c>
      <c r="F116" s="23">
        <v>44674</v>
      </c>
      <c r="G116" s="2" t="str">
        <f>TEXT(Table1[[#This Row],[Hire Date  ]],"yyyy")</f>
        <v>2022</v>
      </c>
      <c r="H116" s="7">
        <v>77819</v>
      </c>
      <c r="I116" s="28">
        <v>79</v>
      </c>
      <c r="J116" s="4">
        <f t="shared" ca="1" si="5"/>
        <v>4</v>
      </c>
      <c r="K116" s="6" t="str" cm="1">
        <f t="array" ref="K116">_xlfn.IFS(I116&lt;=49,"Needs Improvement",I116&lt;=69,"Developing",I116&lt;=84,"Achieving",I116&lt;=94,"Exceeding",I116&lt;=100,"Outstanding")</f>
        <v>Achieving</v>
      </c>
      <c r="L116" s="6">
        <f>_xlfn.XLOOKUP(K116,Lookup_Performance!$C$2:$C$6,Lookup_Performance!$D$2:$D$6,"N/A",0)</f>
        <v>0.05</v>
      </c>
      <c r="M116" s="30">
        <f t="shared" si="4"/>
        <v>3890.9500000000003</v>
      </c>
      <c r="N116" s="26" t="s">
        <v>18</v>
      </c>
      <c r="O116" t="str">
        <f>TRIM(CLEAN(Table1[[#This Row],[Employment Status]]))</f>
        <v>Active</v>
      </c>
    </row>
    <row r="117" spans="2:15" x14ac:dyDescent="0.25">
      <c r="B117" t="s">
        <v>138</v>
      </c>
      <c r="C117" s="26" t="s">
        <v>210</v>
      </c>
      <c r="D117" t="s">
        <v>5</v>
      </c>
      <c r="E117" s="26" t="str">
        <f>_xlfn.XLOOKUP(D117,Lookup_Departments!$A$2:$A$7,Lookup_Departments!$B$2:$B$7,"Invalid Dept_Code",0)</f>
        <v>Marketing</v>
      </c>
      <c r="F117" s="23" t="s">
        <v>139</v>
      </c>
      <c r="G117" s="2" t="str">
        <f>TEXT(Table1[[#This Row],[Hire Date  ]],"yyyy")</f>
        <v>2017</v>
      </c>
      <c r="H117" s="7">
        <v>48748</v>
      </c>
      <c r="I117" s="28">
        <v>83</v>
      </c>
      <c r="J117" s="4">
        <f t="shared" ca="1" si="5"/>
        <v>9</v>
      </c>
      <c r="K117" s="6" t="str" cm="1">
        <f t="array" ref="K117">_xlfn.IFS(I117&lt;=49,"Needs Improvement",I117&lt;=69,"Developing",I117&lt;=84,"Achieving",I117&lt;=94,"Exceeding",I117&lt;=100,"Outstanding")</f>
        <v>Achieving</v>
      </c>
      <c r="L117" s="6">
        <f>_xlfn.XLOOKUP(K117,Lookup_Performance!$C$2:$C$6,Lookup_Performance!$D$2:$D$6,"N/A",0)</f>
        <v>0.05</v>
      </c>
      <c r="M117" s="30">
        <f t="shared" si="4"/>
        <v>2437.4</v>
      </c>
      <c r="N117" s="26" t="s">
        <v>18</v>
      </c>
      <c r="O117" t="str">
        <f>TRIM(CLEAN(Table1[[#This Row],[Employment Status]]))</f>
        <v>Active</v>
      </c>
    </row>
    <row r="118" spans="2:15" x14ac:dyDescent="0.25">
      <c r="B118" t="s">
        <v>140</v>
      </c>
      <c r="C118" s="26" t="s">
        <v>286</v>
      </c>
      <c r="D118" t="s">
        <v>12</v>
      </c>
      <c r="E118" s="26" t="str">
        <f>_xlfn.XLOOKUP(D118,Lookup_Departments!$A$2:$A$7,Lookup_Departments!$B$2:$B$7,"Invalid Dept_Code",0)</f>
        <v>Operations</v>
      </c>
      <c r="F118" s="23">
        <v>43971</v>
      </c>
      <c r="G118" s="2" t="str">
        <f>TEXT(Table1[[#This Row],[Hire Date  ]],"yyyy")</f>
        <v>2020</v>
      </c>
      <c r="H118" s="7">
        <v>101997</v>
      </c>
      <c r="I118" s="28">
        <v>38</v>
      </c>
      <c r="J118" s="4">
        <f t="shared" ca="1" si="5"/>
        <v>6</v>
      </c>
      <c r="K118" s="6" t="str" cm="1">
        <f t="array" ref="K118">_xlfn.IFS(I118&lt;=49,"Needs Improvement",I118&lt;=69,"Developing",I118&lt;=84,"Achieving",I118&lt;=94,"Exceeding",I118&lt;=100,"Outstanding")</f>
        <v>Needs Improvement</v>
      </c>
      <c r="L118" s="6">
        <f>_xlfn.XLOOKUP(K118,Lookup_Performance!$C$2:$C$6,Lookup_Performance!$D$2:$D$6,"N/A",0)</f>
        <v>0</v>
      </c>
      <c r="M118" s="30">
        <f t="shared" si="4"/>
        <v>0</v>
      </c>
      <c r="N118" s="26" t="s">
        <v>55</v>
      </c>
      <c r="O118" t="str">
        <f>TRIM(CLEAN(Table1[[#This Row],[Employment Status]]))</f>
        <v>Resigned</v>
      </c>
    </row>
    <row r="119" spans="2:15" x14ac:dyDescent="0.25">
      <c r="B119" t="s">
        <v>141</v>
      </c>
      <c r="C119" s="26" t="s">
        <v>287</v>
      </c>
      <c r="D119" t="s">
        <v>43</v>
      </c>
      <c r="E119" s="26" t="str">
        <f>_xlfn.XLOOKUP(D119,Lookup_Departments!$A$2:$A$7,Lookup_Departments!$B$2:$B$7,"Invalid Dept_Code",0)</f>
        <v>Human Resources</v>
      </c>
      <c r="F119" s="23" t="s">
        <v>142</v>
      </c>
      <c r="G119" s="2" t="str">
        <f>TEXT(Table1[[#This Row],[Hire Date  ]],"yyyy")</f>
        <v>2023</v>
      </c>
      <c r="H119" s="7">
        <v>115260</v>
      </c>
      <c r="I119" s="28">
        <v>77</v>
      </c>
      <c r="J119" s="4">
        <f t="shared" ca="1" si="5"/>
        <v>3</v>
      </c>
      <c r="K119" s="6" t="str" cm="1">
        <f t="array" ref="K119">_xlfn.IFS(I119&lt;=49,"Needs Improvement",I119&lt;=69,"Developing",I119&lt;=84,"Achieving",I119&lt;=94,"Exceeding",I119&lt;=100,"Outstanding")</f>
        <v>Achieving</v>
      </c>
      <c r="L119" s="6">
        <f>_xlfn.XLOOKUP(K119,Lookup_Performance!$C$2:$C$6,Lookup_Performance!$D$2:$D$6,"N/A",0)</f>
        <v>0.05</v>
      </c>
      <c r="M119" s="30">
        <f t="shared" si="4"/>
        <v>5763</v>
      </c>
      <c r="N119" s="26" t="s">
        <v>18</v>
      </c>
      <c r="O119" t="str">
        <f>TRIM(CLEAN(Table1[[#This Row],[Employment Status]]))</f>
        <v>Active</v>
      </c>
    </row>
    <row r="120" spans="2:15" x14ac:dyDescent="0.25">
      <c r="B120" t="s">
        <v>143</v>
      </c>
      <c r="C120" s="26" t="s">
        <v>288</v>
      </c>
      <c r="D120" t="s">
        <v>17</v>
      </c>
      <c r="E120" s="26" t="str">
        <f>_xlfn.XLOOKUP(D120,Lookup_Departments!$A$2:$A$7,Lookup_Departments!$B$2:$B$7,"Invalid Dept_Code",0)</f>
        <v>Sales</v>
      </c>
      <c r="F120" s="23">
        <v>44500</v>
      </c>
      <c r="G120" s="2" t="str">
        <f>TEXT(Table1[[#This Row],[Hire Date  ]],"yyyy")</f>
        <v>2021</v>
      </c>
      <c r="H120" s="7">
        <v>80907</v>
      </c>
      <c r="I120" s="28">
        <v>49</v>
      </c>
      <c r="J120" s="4">
        <f t="shared" ca="1" si="5"/>
        <v>4</v>
      </c>
      <c r="K120" s="6" t="str" cm="1">
        <f t="array" ref="K120">_xlfn.IFS(I120&lt;=49,"Needs Improvement",I120&lt;=69,"Developing",I120&lt;=84,"Achieving",I120&lt;=94,"Exceeding",I120&lt;=100,"Outstanding")</f>
        <v>Needs Improvement</v>
      </c>
      <c r="L120" s="6">
        <f>_xlfn.XLOOKUP(K120,Lookup_Performance!$C$2:$C$6,Lookup_Performance!$D$2:$D$6,"N/A",0)</f>
        <v>0</v>
      </c>
      <c r="M120" s="30">
        <f t="shared" si="4"/>
        <v>0</v>
      </c>
      <c r="N120" s="26" t="s">
        <v>18</v>
      </c>
      <c r="O120" t="str">
        <f>TRIM(CLEAN(Table1[[#This Row],[Employment Status]]))</f>
        <v>Active</v>
      </c>
    </row>
    <row r="121" spans="2:15" x14ac:dyDescent="0.25">
      <c r="B121" t="s">
        <v>144</v>
      </c>
      <c r="C121" s="26" t="s">
        <v>230</v>
      </c>
      <c r="D121" t="s">
        <v>3</v>
      </c>
      <c r="E121" s="26" t="str">
        <f>_xlfn.XLOOKUP(D121,Lookup_Departments!$A$2:$A$7,Lookup_Departments!$B$2:$B$7,"Invalid Dept_Code",0)</f>
        <v>Information Technology</v>
      </c>
      <c r="F121" s="23">
        <v>7968</v>
      </c>
      <c r="G121" s="2" t="str">
        <f>TEXT(Table1[[#This Row],[Hire Date  ]],"yyyy")</f>
        <v>1921</v>
      </c>
      <c r="H121" s="7">
        <v>74560</v>
      </c>
      <c r="I121" s="28">
        <v>69</v>
      </c>
      <c r="J121" s="4">
        <f t="shared" ca="1" si="5"/>
        <v>104</v>
      </c>
      <c r="K121" s="6" t="str" cm="1">
        <f t="array" ref="K121">_xlfn.IFS(I121&lt;=49,"Needs Improvement",I121&lt;=69,"Developing",I121&lt;=84,"Achieving",I121&lt;=94,"Exceeding",I121&lt;=100,"Outstanding")</f>
        <v>Developing</v>
      </c>
      <c r="L121" s="6">
        <f>_xlfn.XLOOKUP(K121,Lookup_Performance!$C$2:$C$6,Lookup_Performance!$D$2:$D$6,"N/A",0)</f>
        <v>0.02</v>
      </c>
      <c r="M121" s="30">
        <f t="shared" si="4"/>
        <v>1491.2</v>
      </c>
      <c r="N121" s="26" t="s">
        <v>10</v>
      </c>
      <c r="O121" t="str">
        <f>TRIM(CLEAN(Table1[[#This Row],[Employment Status]]))</f>
        <v>Left</v>
      </c>
    </row>
    <row r="122" spans="2:15" x14ac:dyDescent="0.25">
      <c r="B122" t="s">
        <v>145</v>
      </c>
      <c r="C122" s="26" t="s">
        <v>289</v>
      </c>
      <c r="D122" t="s">
        <v>17</v>
      </c>
      <c r="E122" s="26" t="str">
        <f>_xlfn.XLOOKUP(D122,Lookup_Departments!$A$2:$A$7,Lookup_Departments!$B$2:$B$7,"Invalid Dept_Code",0)</f>
        <v>Sales</v>
      </c>
      <c r="F122" s="23">
        <v>42956</v>
      </c>
      <c r="G122" s="2" t="str">
        <f>TEXT(Table1[[#This Row],[Hire Date  ]],"yyyy")</f>
        <v>2017</v>
      </c>
      <c r="H122" s="7">
        <v>80907</v>
      </c>
      <c r="I122" s="28">
        <v>76</v>
      </c>
      <c r="J122" s="4">
        <f t="shared" ca="1" si="5"/>
        <v>8</v>
      </c>
      <c r="K122" s="6" t="str" cm="1">
        <f t="array" ref="K122">_xlfn.IFS(I122&lt;=49,"Needs Improvement",I122&lt;=69,"Developing",I122&lt;=84,"Achieving",I122&lt;=94,"Exceeding",I122&lt;=100,"Outstanding")</f>
        <v>Achieving</v>
      </c>
      <c r="L122" s="6">
        <f>_xlfn.XLOOKUP(K122,Lookup_Performance!$C$2:$C$6,Lookup_Performance!$D$2:$D$6,"N/A",0)</f>
        <v>0.05</v>
      </c>
      <c r="M122" s="30">
        <f t="shared" si="4"/>
        <v>4045.3500000000004</v>
      </c>
      <c r="N122" s="26" t="s">
        <v>18</v>
      </c>
      <c r="O122" t="str">
        <f>TRIM(CLEAN(Table1[[#This Row],[Employment Status]]))</f>
        <v>Active</v>
      </c>
    </row>
    <row r="123" spans="2:15" x14ac:dyDescent="0.25">
      <c r="B123" t="s">
        <v>146</v>
      </c>
      <c r="C123" s="26" t="s">
        <v>290</v>
      </c>
      <c r="D123" t="s">
        <v>12</v>
      </c>
      <c r="E123" s="26" t="str">
        <f>_xlfn.XLOOKUP(D123,Lookup_Departments!$A$2:$A$7,Lookup_Departments!$B$2:$B$7,"Invalid Dept_Code",0)</f>
        <v>Operations</v>
      </c>
      <c r="F123" s="23">
        <v>44930</v>
      </c>
      <c r="G123" s="2" t="str">
        <f>TEXT(Table1[[#This Row],[Hire Date  ]],"yyyy")</f>
        <v>2023</v>
      </c>
      <c r="H123" s="7">
        <v>60623</v>
      </c>
      <c r="I123" s="28">
        <v>78</v>
      </c>
      <c r="J123" s="4">
        <f t="shared" ca="1" si="5"/>
        <v>3</v>
      </c>
      <c r="K123" s="6" t="str" cm="1">
        <f t="array" ref="K123">_xlfn.IFS(I123&lt;=49,"Needs Improvement",I123&lt;=69,"Developing",I123&lt;=84,"Achieving",I123&lt;=94,"Exceeding",I123&lt;=100,"Outstanding")</f>
        <v>Achieving</v>
      </c>
      <c r="L123" s="6">
        <f>_xlfn.XLOOKUP(K123,Lookup_Performance!$C$2:$C$6,Lookup_Performance!$D$2:$D$6,"N/A",0)</f>
        <v>0.05</v>
      </c>
      <c r="M123" s="30">
        <f t="shared" si="4"/>
        <v>3031.15</v>
      </c>
      <c r="N123" s="26" t="s">
        <v>18</v>
      </c>
      <c r="O123" t="str">
        <f>TRIM(CLEAN(Table1[[#This Row],[Employment Status]]))</f>
        <v>Active</v>
      </c>
    </row>
    <row r="124" spans="2:15" x14ac:dyDescent="0.25">
      <c r="B124" t="s">
        <v>147</v>
      </c>
      <c r="C124" s="26" t="s">
        <v>242</v>
      </c>
      <c r="D124" t="s">
        <v>43</v>
      </c>
      <c r="E124" s="26" t="str">
        <f>_xlfn.XLOOKUP(D124,Lookup_Departments!$A$2:$A$7,Lookup_Departments!$B$2:$B$7,"Invalid Dept_Code",0)</f>
        <v>Human Resources</v>
      </c>
      <c r="F124" s="23">
        <v>44053</v>
      </c>
      <c r="G124" s="2" t="str">
        <f>TEXT(Table1[[#This Row],[Hire Date  ]],"yyyy")</f>
        <v>2020</v>
      </c>
      <c r="H124" s="7">
        <v>68092</v>
      </c>
      <c r="I124" s="28">
        <v>93</v>
      </c>
      <c r="J124" s="4">
        <f t="shared" ca="1" si="5"/>
        <v>5</v>
      </c>
      <c r="K124" s="6" t="str" cm="1">
        <f t="array" ref="K124">_xlfn.IFS(I124&lt;=49,"Needs Improvement",I124&lt;=69,"Developing",I124&lt;=84,"Achieving",I124&lt;=94,"Exceeding",I124&lt;=100,"Outstanding")</f>
        <v>Exceeding</v>
      </c>
      <c r="L124" s="6">
        <f>_xlfn.XLOOKUP(K124,Lookup_Performance!$C$2:$C$6,Lookup_Performance!$D$2:$D$6,"N/A",0)</f>
        <v>0.08</v>
      </c>
      <c r="M124" s="30">
        <f t="shared" si="4"/>
        <v>5447.36</v>
      </c>
      <c r="N124" s="26" t="s">
        <v>18</v>
      </c>
      <c r="O124" t="str">
        <f>TRIM(CLEAN(Table1[[#This Row],[Employment Status]]))</f>
        <v>Active</v>
      </c>
    </row>
    <row r="125" spans="2:15" x14ac:dyDescent="0.25">
      <c r="B125" t="s">
        <v>148</v>
      </c>
      <c r="C125" s="26" t="s">
        <v>222</v>
      </c>
      <c r="D125" t="s">
        <v>5</v>
      </c>
      <c r="E125" s="26" t="str">
        <f>_xlfn.XLOOKUP(D125,Lookup_Departments!$A$2:$A$7,Lookup_Departments!$B$2:$B$7,"Invalid Dept_Code",0)</f>
        <v>Marketing</v>
      </c>
      <c r="F125" s="23">
        <v>44653</v>
      </c>
      <c r="G125" s="2" t="str">
        <f>TEXT(Table1[[#This Row],[Hire Date  ]],"yyyy")</f>
        <v>2022</v>
      </c>
      <c r="H125" s="7">
        <v>88155</v>
      </c>
      <c r="I125" s="28">
        <v>68</v>
      </c>
      <c r="J125" s="4">
        <f t="shared" ca="1" si="5"/>
        <v>4</v>
      </c>
      <c r="K125" s="6" t="str" cm="1">
        <f t="array" ref="K125">_xlfn.IFS(I125&lt;=49,"Needs Improvement",I125&lt;=69,"Developing",I125&lt;=84,"Achieving",I125&lt;=94,"Exceeding",I125&lt;=100,"Outstanding")</f>
        <v>Developing</v>
      </c>
      <c r="L125" s="6">
        <f>_xlfn.XLOOKUP(K125,Lookup_Performance!$C$2:$C$6,Lookup_Performance!$D$2:$D$6,"N/A",0)</f>
        <v>0.02</v>
      </c>
      <c r="M125" s="30">
        <f t="shared" si="4"/>
        <v>1763.1000000000001</v>
      </c>
      <c r="N125" s="26" t="s">
        <v>18</v>
      </c>
      <c r="O125" t="str">
        <f>TRIM(CLEAN(Table1[[#This Row],[Employment Status]]))</f>
        <v>Active</v>
      </c>
    </row>
    <row r="126" spans="2:15" x14ac:dyDescent="0.25">
      <c r="B126" t="s">
        <v>149</v>
      </c>
      <c r="C126" s="26" t="s">
        <v>291</v>
      </c>
      <c r="D126" t="s">
        <v>5</v>
      </c>
      <c r="E126" s="26" t="str">
        <f>_xlfn.XLOOKUP(D126,Lookup_Departments!$A$2:$A$7,Lookup_Departments!$B$2:$B$7,"Invalid Dept_Code",0)</f>
        <v>Marketing</v>
      </c>
      <c r="F126" s="23">
        <v>43183</v>
      </c>
      <c r="G126" s="2" t="str">
        <f>TEXT(Table1[[#This Row],[Hire Date  ]],"yyyy")</f>
        <v>2018</v>
      </c>
      <c r="H126" s="7">
        <v>107903</v>
      </c>
      <c r="I126" s="28">
        <v>42</v>
      </c>
      <c r="J126" s="4">
        <f t="shared" ca="1" si="5"/>
        <v>8</v>
      </c>
      <c r="K126" s="6" t="str" cm="1">
        <f t="array" ref="K126">_xlfn.IFS(I126&lt;=49,"Needs Improvement",I126&lt;=69,"Developing",I126&lt;=84,"Achieving",I126&lt;=94,"Exceeding",I126&lt;=100,"Outstanding")</f>
        <v>Needs Improvement</v>
      </c>
      <c r="L126" s="6">
        <f>_xlfn.XLOOKUP(K126,Lookup_Performance!$C$2:$C$6,Lookup_Performance!$D$2:$D$6,"N/A",0)</f>
        <v>0</v>
      </c>
      <c r="M126" s="30">
        <f t="shared" si="4"/>
        <v>0</v>
      </c>
      <c r="N126" s="26" t="s">
        <v>18</v>
      </c>
      <c r="O126" t="str">
        <f>TRIM(CLEAN(Table1[[#This Row],[Employment Status]]))</f>
        <v>Active</v>
      </c>
    </row>
    <row r="127" spans="2:15" x14ac:dyDescent="0.25">
      <c r="B127" t="s">
        <v>150</v>
      </c>
      <c r="C127" s="26" t="s">
        <v>280</v>
      </c>
      <c r="D127" t="s">
        <v>3</v>
      </c>
      <c r="E127" s="26" t="str">
        <f>_xlfn.XLOOKUP(D127,Lookup_Departments!$A$2:$A$7,Lookup_Departments!$B$2:$B$7,"Invalid Dept_Code",0)</f>
        <v>Information Technology</v>
      </c>
      <c r="F127" s="23">
        <v>43305</v>
      </c>
      <c r="G127" s="2" t="str">
        <f>TEXT(Table1[[#This Row],[Hire Date  ]],"yyyy")</f>
        <v>2018</v>
      </c>
      <c r="H127" s="7">
        <v>62818</v>
      </c>
      <c r="I127" s="28">
        <v>34</v>
      </c>
      <c r="J127" s="4">
        <f t="shared" ca="1" si="5"/>
        <v>7</v>
      </c>
      <c r="K127" s="6" t="str" cm="1">
        <f t="array" ref="K127">_xlfn.IFS(I127&lt;=49,"Needs Improvement",I127&lt;=69,"Developing",I127&lt;=84,"Achieving",I127&lt;=94,"Exceeding",I127&lt;=100,"Outstanding")</f>
        <v>Needs Improvement</v>
      </c>
      <c r="L127" s="6">
        <f>_xlfn.XLOOKUP(K127,Lookup_Performance!$C$2:$C$6,Lookup_Performance!$D$2:$D$6,"N/A",0)</f>
        <v>0</v>
      </c>
      <c r="M127" s="30">
        <f t="shared" si="4"/>
        <v>0</v>
      </c>
      <c r="N127" s="26" t="s">
        <v>18</v>
      </c>
      <c r="O127" t="str">
        <f>TRIM(CLEAN(Table1[[#This Row],[Employment Status]]))</f>
        <v>Active</v>
      </c>
    </row>
    <row r="128" spans="2:15" x14ac:dyDescent="0.25">
      <c r="B128" t="s">
        <v>151</v>
      </c>
      <c r="C128" s="26" t="s">
        <v>267</v>
      </c>
      <c r="D128" t="s">
        <v>43</v>
      </c>
      <c r="E128" s="26" t="str">
        <f>_xlfn.XLOOKUP(D128,Lookup_Departments!$A$2:$A$7,Lookup_Departments!$B$2:$B$7,"Invalid Dept_Code",0)</f>
        <v>Human Resources</v>
      </c>
      <c r="F128" s="23">
        <v>43301</v>
      </c>
      <c r="G128" s="2" t="str">
        <f>TEXT(Table1[[#This Row],[Hire Date  ]],"yyyy")</f>
        <v>2018</v>
      </c>
      <c r="H128" s="7">
        <v>85151</v>
      </c>
      <c r="I128" s="28">
        <v>35</v>
      </c>
      <c r="J128" s="4">
        <f t="shared" ca="1" si="5"/>
        <v>7</v>
      </c>
      <c r="K128" s="6" t="str" cm="1">
        <f t="array" ref="K128">_xlfn.IFS(I128&lt;=49,"Needs Improvement",I128&lt;=69,"Developing",I128&lt;=84,"Achieving",I128&lt;=94,"Exceeding",I128&lt;=100,"Outstanding")</f>
        <v>Needs Improvement</v>
      </c>
      <c r="L128" s="6">
        <f>_xlfn.XLOOKUP(K128,Lookup_Performance!$C$2:$C$6,Lookup_Performance!$D$2:$D$6,"N/A",0)</f>
        <v>0</v>
      </c>
      <c r="M128" s="30">
        <f t="shared" si="4"/>
        <v>0</v>
      </c>
      <c r="N128" s="26" t="s">
        <v>18</v>
      </c>
      <c r="O128" t="str">
        <f>TRIM(CLEAN(Table1[[#This Row],[Employment Status]]))</f>
        <v>Active</v>
      </c>
    </row>
    <row r="129" spans="2:15" x14ac:dyDescent="0.25">
      <c r="B129" t="s">
        <v>152</v>
      </c>
      <c r="C129" s="26" t="s">
        <v>243</v>
      </c>
      <c r="D129" t="s">
        <v>8</v>
      </c>
      <c r="E129" s="26" t="str">
        <f>_xlfn.XLOOKUP(D129,Lookup_Departments!$A$2:$A$7,Lookup_Departments!$B$2:$B$7,"Invalid Dept_Code",0)</f>
        <v>Finance</v>
      </c>
      <c r="F129" s="23">
        <v>42433</v>
      </c>
      <c r="G129" s="2" t="str">
        <f>TEXT(Table1[[#This Row],[Hire Date  ]],"yyyy")</f>
        <v>2016</v>
      </c>
      <c r="H129" s="7">
        <v>46390</v>
      </c>
      <c r="I129" s="28">
        <v>95</v>
      </c>
      <c r="J129" s="4">
        <f t="shared" ca="1" si="5"/>
        <v>10</v>
      </c>
      <c r="K129" s="6" t="str" cm="1">
        <f t="array" ref="K129">_xlfn.IFS(I129&lt;=49,"Needs Improvement",I129&lt;=69,"Developing",I129&lt;=84,"Achieving",I129&lt;=94,"Exceeding",I129&lt;=100,"Outstanding")</f>
        <v>Outstanding</v>
      </c>
      <c r="L129" s="6">
        <f>_xlfn.XLOOKUP(K129,Lookup_Performance!$C$2:$C$6,Lookup_Performance!$D$2:$D$6,"N/A",0)</f>
        <v>0.12</v>
      </c>
      <c r="M129" s="30">
        <f t="shared" si="4"/>
        <v>5566.8</v>
      </c>
      <c r="N129" s="26" t="s">
        <v>18</v>
      </c>
      <c r="O129" t="str">
        <f>TRIM(CLEAN(Table1[[#This Row],[Employment Status]]))</f>
        <v>Active</v>
      </c>
    </row>
    <row r="130" spans="2:15" x14ac:dyDescent="0.25">
      <c r="B130" t="s">
        <v>153</v>
      </c>
      <c r="C130" s="26" t="s">
        <v>200</v>
      </c>
      <c r="D130" t="s">
        <v>43</v>
      </c>
      <c r="E130" s="26" t="str">
        <f>_xlfn.XLOOKUP(D130,Lookup_Departments!$A$2:$A$7,Lookup_Departments!$B$2:$B$7,"Invalid Dept_Code",0)</f>
        <v>Human Resources</v>
      </c>
      <c r="F130" s="23">
        <v>44643</v>
      </c>
      <c r="G130" s="2" t="str">
        <f>TEXT(Table1[[#This Row],[Hire Date  ]],"yyyy")</f>
        <v>2022</v>
      </c>
      <c r="H130" s="7">
        <v>111920</v>
      </c>
      <c r="I130" s="28">
        <v>90</v>
      </c>
      <c r="J130" s="4">
        <f t="shared" ref="J130:J151" ca="1" si="6">DATEDIF(F130,TODAY(),"Y")</f>
        <v>4</v>
      </c>
      <c r="K130" s="6" t="str" cm="1">
        <f t="array" ref="K130">_xlfn.IFS(I130&lt;=49,"Needs Improvement",I130&lt;=69,"Developing",I130&lt;=84,"Achieving",I130&lt;=94,"Exceeding",I130&lt;=100,"Outstanding")</f>
        <v>Exceeding</v>
      </c>
      <c r="L130" s="6">
        <f>_xlfn.XLOOKUP(K130,Lookup_Performance!$C$2:$C$6,Lookup_Performance!$D$2:$D$6,"N/A",0)</f>
        <v>0.08</v>
      </c>
      <c r="M130" s="30">
        <f t="shared" si="4"/>
        <v>8953.6</v>
      </c>
      <c r="N130" s="26" t="s">
        <v>10</v>
      </c>
      <c r="O130" t="str">
        <f>TRIM(CLEAN(Table1[[#This Row],[Employment Status]]))</f>
        <v>Left</v>
      </c>
    </row>
    <row r="131" spans="2:15" x14ac:dyDescent="0.25">
      <c r="B131" t="s">
        <v>154</v>
      </c>
      <c r="C131" s="26" t="s">
        <v>292</v>
      </c>
      <c r="D131" t="s">
        <v>43</v>
      </c>
      <c r="E131" s="26" t="str">
        <f>_xlfn.XLOOKUP(D131,Lookup_Departments!$A$2:$A$7,Lookup_Departments!$B$2:$B$7,"Invalid Dept_Code",0)</f>
        <v>Human Resources</v>
      </c>
      <c r="F131" s="23">
        <v>42944</v>
      </c>
      <c r="G131" s="2" t="str">
        <f>TEXT(Table1[[#This Row],[Hire Date  ]],"yyyy")</f>
        <v>2017</v>
      </c>
      <c r="H131" s="7">
        <v>115618</v>
      </c>
      <c r="I131" s="28">
        <v>42</v>
      </c>
      <c r="J131" s="4">
        <f t="shared" ca="1" si="6"/>
        <v>8</v>
      </c>
      <c r="K131" s="6" t="str" cm="1">
        <f t="array" ref="K131">_xlfn.IFS(I131&lt;=49,"Needs Improvement",I131&lt;=69,"Developing",I131&lt;=84,"Achieving",I131&lt;=94,"Exceeding",I131&lt;=100,"Outstanding")</f>
        <v>Needs Improvement</v>
      </c>
      <c r="L131" s="6">
        <f>_xlfn.XLOOKUP(K131,Lookup_Performance!$C$2:$C$6,Lookup_Performance!$D$2:$D$6,"N/A",0)</f>
        <v>0</v>
      </c>
      <c r="M131" s="30">
        <f t="shared" ref="M131:M151" si="7">H131*L131</f>
        <v>0</v>
      </c>
      <c r="N131" s="26" t="s">
        <v>18</v>
      </c>
      <c r="O131" t="str">
        <f>TRIM(CLEAN(Table1[[#This Row],[Employment Status]]))</f>
        <v>Active</v>
      </c>
    </row>
    <row r="132" spans="2:15" x14ac:dyDescent="0.25">
      <c r="B132" t="s">
        <v>155</v>
      </c>
      <c r="C132" s="26" t="s">
        <v>293</v>
      </c>
      <c r="D132" t="s">
        <v>17</v>
      </c>
      <c r="E132" s="26" t="str">
        <f>_xlfn.XLOOKUP(D132,Lookup_Departments!$A$2:$A$7,Lookup_Departments!$B$2:$B$7,"Invalid Dept_Code",0)</f>
        <v>Sales</v>
      </c>
      <c r="F132" s="23" t="s">
        <v>156</v>
      </c>
      <c r="G132" s="2" t="str">
        <f>TEXT(Table1[[#This Row],[Hire Date  ]],"yyyy")</f>
        <v>2023</v>
      </c>
      <c r="H132" s="7">
        <v>110618</v>
      </c>
      <c r="I132" s="28">
        <v>88</v>
      </c>
      <c r="J132" s="4">
        <f t="shared" ca="1" si="6"/>
        <v>3</v>
      </c>
      <c r="K132" s="6" t="str" cm="1">
        <f t="array" ref="K132">_xlfn.IFS(I132&lt;=49,"Needs Improvement",I132&lt;=69,"Developing",I132&lt;=84,"Achieving",I132&lt;=94,"Exceeding",I132&lt;=100,"Outstanding")</f>
        <v>Exceeding</v>
      </c>
      <c r="L132" s="6">
        <f>_xlfn.XLOOKUP(K132,Lookup_Performance!$C$2:$C$6,Lookup_Performance!$D$2:$D$6,"N/A",0)</f>
        <v>0.08</v>
      </c>
      <c r="M132" s="30">
        <f t="shared" si="7"/>
        <v>8849.44</v>
      </c>
      <c r="N132" s="26" t="s">
        <v>55</v>
      </c>
      <c r="O132" t="str">
        <f>TRIM(CLEAN(Table1[[#This Row],[Employment Status]]))</f>
        <v>Resigned</v>
      </c>
    </row>
    <row r="133" spans="2:15" x14ac:dyDescent="0.25">
      <c r="B133" t="s">
        <v>157</v>
      </c>
      <c r="C133" s="26" t="s">
        <v>294</v>
      </c>
      <c r="D133" t="s">
        <v>12</v>
      </c>
      <c r="E133" s="26" t="str">
        <f>_xlfn.XLOOKUP(D133,Lookup_Departments!$A$2:$A$7,Lookup_Departments!$B$2:$B$7,"Invalid Dept_Code",0)</f>
        <v>Operations</v>
      </c>
      <c r="F133" s="23">
        <v>44639</v>
      </c>
      <c r="G133" s="2" t="str">
        <f>TEXT(Table1[[#This Row],[Hire Date  ]],"yyyy")</f>
        <v>2022</v>
      </c>
      <c r="H133" s="7">
        <v>108395</v>
      </c>
      <c r="I133" s="28">
        <v>78</v>
      </c>
      <c r="J133" s="4">
        <f t="shared" ca="1" si="6"/>
        <v>4</v>
      </c>
      <c r="K133" s="6" t="str" cm="1">
        <f t="array" ref="K133">_xlfn.IFS(I133&lt;=49,"Needs Improvement",I133&lt;=69,"Developing",I133&lt;=84,"Achieving",I133&lt;=94,"Exceeding",I133&lt;=100,"Outstanding")</f>
        <v>Achieving</v>
      </c>
      <c r="L133" s="6">
        <f>_xlfn.XLOOKUP(K133,Lookup_Performance!$C$2:$C$6,Lookup_Performance!$D$2:$D$6,"N/A",0)</f>
        <v>0.05</v>
      </c>
      <c r="M133" s="30">
        <f t="shared" si="7"/>
        <v>5419.75</v>
      </c>
      <c r="N133" s="26" t="s">
        <v>10</v>
      </c>
      <c r="O133" t="str">
        <f>TRIM(CLEAN(Table1[[#This Row],[Employment Status]]))</f>
        <v>Left</v>
      </c>
    </row>
    <row r="134" spans="2:15" x14ac:dyDescent="0.25">
      <c r="B134" t="s">
        <v>158</v>
      </c>
      <c r="C134" s="26" t="s">
        <v>239</v>
      </c>
      <c r="D134" t="s">
        <v>8</v>
      </c>
      <c r="E134" s="26" t="str">
        <f>_xlfn.XLOOKUP(D134,Lookup_Departments!$A$2:$A$7,Lookup_Departments!$B$2:$B$7,"Invalid Dept_Code",0)</f>
        <v>Finance</v>
      </c>
      <c r="F134" s="23">
        <v>43091</v>
      </c>
      <c r="G134" s="2" t="str">
        <f>TEXT(Table1[[#This Row],[Hire Date  ]],"yyyy")</f>
        <v>2017</v>
      </c>
      <c r="H134" s="7">
        <v>88005</v>
      </c>
      <c r="I134" s="28">
        <v>69</v>
      </c>
      <c r="J134" s="4">
        <f t="shared" ca="1" si="6"/>
        <v>8</v>
      </c>
      <c r="K134" s="6" t="str" cm="1">
        <f t="array" ref="K134">_xlfn.IFS(I134&lt;=49,"Needs Improvement",I134&lt;=69,"Developing",I134&lt;=84,"Achieving",I134&lt;=94,"Exceeding",I134&lt;=100,"Outstanding")</f>
        <v>Developing</v>
      </c>
      <c r="L134" s="6">
        <f>_xlfn.XLOOKUP(K134,Lookup_Performance!$C$2:$C$6,Lookup_Performance!$D$2:$D$6,"N/A",0)</f>
        <v>0.02</v>
      </c>
      <c r="M134" s="30">
        <f t="shared" si="7"/>
        <v>1760.1000000000001</v>
      </c>
      <c r="N134" s="26" t="s">
        <v>18</v>
      </c>
      <c r="O134" t="str">
        <f>TRIM(CLEAN(Table1[[#This Row],[Employment Status]]))</f>
        <v>Active</v>
      </c>
    </row>
    <row r="135" spans="2:15" x14ac:dyDescent="0.25">
      <c r="B135" t="s">
        <v>159</v>
      </c>
      <c r="C135" s="26" t="s">
        <v>295</v>
      </c>
      <c r="D135" t="s">
        <v>5</v>
      </c>
      <c r="E135" s="26" t="str">
        <f>_xlfn.XLOOKUP(D135,Lookup_Departments!$A$2:$A$7,Lookup_Departments!$B$2:$B$7,"Invalid Dept_Code",0)</f>
        <v>Marketing</v>
      </c>
      <c r="F135" s="23" t="s">
        <v>160</v>
      </c>
      <c r="G135" s="2" t="str">
        <f>TEXT(Table1[[#This Row],[Hire Date  ]],"yyyy")</f>
        <v>2021</v>
      </c>
      <c r="H135" s="7">
        <v>83007</v>
      </c>
      <c r="I135" s="28">
        <v>82</v>
      </c>
      <c r="J135" s="4">
        <f t="shared" ca="1" si="6"/>
        <v>4</v>
      </c>
      <c r="K135" s="6" t="str" cm="1">
        <f t="array" ref="K135">_xlfn.IFS(I135&lt;=49,"Needs Improvement",I135&lt;=69,"Developing",I135&lt;=84,"Achieving",I135&lt;=94,"Exceeding",I135&lt;=100,"Outstanding")</f>
        <v>Achieving</v>
      </c>
      <c r="L135" s="6">
        <f>_xlfn.XLOOKUP(K135,Lookup_Performance!$C$2:$C$6,Lookup_Performance!$D$2:$D$6,"N/A",0)</f>
        <v>0.05</v>
      </c>
      <c r="M135" s="30">
        <f t="shared" si="7"/>
        <v>4150.3500000000004</v>
      </c>
      <c r="N135" s="26" t="s">
        <v>18</v>
      </c>
      <c r="O135" t="str">
        <f>TRIM(CLEAN(Table1[[#This Row],[Employment Status]]))</f>
        <v>Active</v>
      </c>
    </row>
    <row r="136" spans="2:15" x14ac:dyDescent="0.25">
      <c r="B136" t="s">
        <v>161</v>
      </c>
      <c r="C136" s="26" t="s">
        <v>296</v>
      </c>
      <c r="D136" t="s">
        <v>3</v>
      </c>
      <c r="E136" s="26" t="str">
        <f>_xlfn.XLOOKUP(D136,Lookup_Departments!$A$2:$A$7,Lookup_Departments!$B$2:$B$7,"Invalid Dept_Code",0)</f>
        <v>Information Technology</v>
      </c>
      <c r="F136" s="23">
        <v>43360</v>
      </c>
      <c r="G136" s="2" t="str">
        <f>TEXT(Table1[[#This Row],[Hire Date  ]],"yyyy")</f>
        <v>2018</v>
      </c>
      <c r="H136" s="7">
        <v>61547</v>
      </c>
      <c r="I136" s="28">
        <v>68</v>
      </c>
      <c r="J136" s="4">
        <f t="shared" ca="1" si="6"/>
        <v>7</v>
      </c>
      <c r="K136" s="6" t="str" cm="1">
        <f t="array" ref="K136">_xlfn.IFS(I136&lt;=49,"Needs Improvement",I136&lt;=69,"Developing",I136&lt;=84,"Achieving",I136&lt;=94,"Exceeding",I136&lt;=100,"Outstanding")</f>
        <v>Developing</v>
      </c>
      <c r="L136" s="6">
        <f>_xlfn.XLOOKUP(K136,Lookup_Performance!$C$2:$C$6,Lookup_Performance!$D$2:$D$6,"N/A",0)</f>
        <v>0.02</v>
      </c>
      <c r="M136" s="30">
        <f t="shared" si="7"/>
        <v>1230.94</v>
      </c>
      <c r="N136" s="26" t="s">
        <v>18</v>
      </c>
      <c r="O136" t="str">
        <f>TRIM(CLEAN(Table1[[#This Row],[Employment Status]]))</f>
        <v>Active</v>
      </c>
    </row>
    <row r="137" spans="2:15" x14ac:dyDescent="0.25">
      <c r="B137" t="s">
        <v>162</v>
      </c>
      <c r="C137" s="26" t="s">
        <v>297</v>
      </c>
      <c r="D137" t="s">
        <v>17</v>
      </c>
      <c r="E137" s="26" t="str">
        <f>_xlfn.XLOOKUP(D137,Lookup_Departments!$A$2:$A$7,Lookup_Departments!$B$2:$B$7,"Invalid Dept_Code",0)</f>
        <v>Sales</v>
      </c>
      <c r="F137" s="23">
        <v>44375</v>
      </c>
      <c r="G137" s="2" t="str">
        <f>TEXT(Table1[[#This Row],[Hire Date  ]],"yyyy")</f>
        <v>2021</v>
      </c>
      <c r="H137" s="7">
        <v>80907</v>
      </c>
      <c r="I137" s="28">
        <v>52</v>
      </c>
      <c r="J137" s="4">
        <f t="shared" ca="1" si="6"/>
        <v>5</v>
      </c>
      <c r="K137" s="6" t="str" cm="1">
        <f t="array" ref="K137">_xlfn.IFS(I137&lt;=49,"Needs Improvement",I137&lt;=69,"Developing",I137&lt;=84,"Achieving",I137&lt;=94,"Exceeding",I137&lt;=100,"Outstanding")</f>
        <v>Developing</v>
      </c>
      <c r="L137" s="6">
        <f>_xlfn.XLOOKUP(K137,Lookup_Performance!$C$2:$C$6,Lookup_Performance!$D$2:$D$6,"N/A",0)</f>
        <v>0.02</v>
      </c>
      <c r="M137" s="30">
        <f t="shared" si="7"/>
        <v>1618.14</v>
      </c>
      <c r="N137" s="26" t="s">
        <v>18</v>
      </c>
      <c r="O137" t="str">
        <f>TRIM(CLEAN(Table1[[#This Row],[Employment Status]]))</f>
        <v>Active</v>
      </c>
    </row>
    <row r="138" spans="2:15" x14ac:dyDescent="0.25">
      <c r="B138" t="s">
        <v>163</v>
      </c>
      <c r="C138" s="26" t="s">
        <v>298</v>
      </c>
      <c r="D138" t="s">
        <v>12</v>
      </c>
      <c r="E138" s="26" t="str">
        <f>_xlfn.XLOOKUP(D138,Lookup_Departments!$A$2:$A$7,Lookup_Departments!$B$2:$B$7,"Invalid Dept_Code",0)</f>
        <v>Operations</v>
      </c>
      <c r="F138" s="23">
        <v>43011</v>
      </c>
      <c r="G138" s="2" t="str">
        <f>TEXT(Table1[[#This Row],[Hire Date  ]],"yyyy")</f>
        <v>2017</v>
      </c>
      <c r="H138" s="7">
        <v>50399</v>
      </c>
      <c r="I138" s="28">
        <v>92</v>
      </c>
      <c r="J138" s="4">
        <f t="shared" ca="1" si="6"/>
        <v>8</v>
      </c>
      <c r="K138" s="6" t="str" cm="1">
        <f t="array" ref="K138">_xlfn.IFS(I138&lt;=49,"Needs Improvement",I138&lt;=69,"Developing",I138&lt;=84,"Achieving",I138&lt;=94,"Exceeding",I138&lt;=100,"Outstanding")</f>
        <v>Exceeding</v>
      </c>
      <c r="L138" s="6">
        <f>_xlfn.XLOOKUP(K138,Lookup_Performance!$C$2:$C$6,Lookup_Performance!$D$2:$D$6,"N/A",0)</f>
        <v>0.08</v>
      </c>
      <c r="M138" s="30">
        <f t="shared" si="7"/>
        <v>4031.92</v>
      </c>
      <c r="N138" s="26" t="s">
        <v>10</v>
      </c>
      <c r="O138" t="str">
        <f>TRIM(CLEAN(Table1[[#This Row],[Employment Status]]))</f>
        <v>Left</v>
      </c>
    </row>
    <row r="139" spans="2:15" x14ac:dyDescent="0.25">
      <c r="B139" t="s">
        <v>164</v>
      </c>
      <c r="C139" s="26" t="s">
        <v>299</v>
      </c>
      <c r="D139" t="s">
        <v>8</v>
      </c>
      <c r="E139" s="26" t="str">
        <f>_xlfn.XLOOKUP(D139,Lookup_Departments!$A$2:$A$7,Lookup_Departments!$B$2:$B$7,"Invalid Dept_Code",0)</f>
        <v>Finance</v>
      </c>
      <c r="F139" s="23" t="s">
        <v>165</v>
      </c>
      <c r="G139" s="2" t="str">
        <f>TEXT(Table1[[#This Row],[Hire Date  ]],"yyyy")</f>
        <v>2015</v>
      </c>
      <c r="H139" s="7">
        <v>95315</v>
      </c>
      <c r="I139" s="28">
        <v>62</v>
      </c>
      <c r="J139" s="4">
        <f t="shared" ca="1" si="6"/>
        <v>10</v>
      </c>
      <c r="K139" s="6" t="str" cm="1">
        <f t="array" ref="K139">_xlfn.IFS(I139&lt;=49,"Needs Improvement",I139&lt;=69,"Developing",I139&lt;=84,"Achieving",I139&lt;=94,"Exceeding",I139&lt;=100,"Outstanding")</f>
        <v>Developing</v>
      </c>
      <c r="L139" s="6">
        <f>_xlfn.XLOOKUP(K139,Lookup_Performance!$C$2:$C$6,Lookup_Performance!$D$2:$D$6,"N/A",0)</f>
        <v>0.02</v>
      </c>
      <c r="M139" s="30">
        <f t="shared" si="7"/>
        <v>1906.3</v>
      </c>
      <c r="N139" s="26" t="s">
        <v>18</v>
      </c>
      <c r="O139" t="str">
        <f>TRIM(CLEAN(Table1[[#This Row],[Employment Status]]))</f>
        <v>Active</v>
      </c>
    </row>
    <row r="140" spans="2:15" x14ac:dyDescent="0.25">
      <c r="B140" t="s">
        <v>166</v>
      </c>
      <c r="C140" s="26" t="s">
        <v>300</v>
      </c>
      <c r="D140" t="s">
        <v>12</v>
      </c>
      <c r="E140" s="26" t="str">
        <f>_xlfn.XLOOKUP(D140,Lookup_Departments!$A$2:$A$7,Lookup_Departments!$B$2:$B$7,"Invalid Dept_Code",0)</f>
        <v>Operations</v>
      </c>
      <c r="F140" s="23">
        <v>43257</v>
      </c>
      <c r="G140" s="2" t="str">
        <f>TEXT(Table1[[#This Row],[Hire Date  ]],"yyyy")</f>
        <v>2018</v>
      </c>
      <c r="H140" s="7">
        <v>52720</v>
      </c>
      <c r="I140" s="28">
        <v>68</v>
      </c>
      <c r="J140" s="4">
        <f t="shared" ca="1" si="6"/>
        <v>8</v>
      </c>
      <c r="K140" s="6" t="str" cm="1">
        <f t="array" ref="K140">_xlfn.IFS(I140&lt;=49,"Needs Improvement",I140&lt;=69,"Developing",I140&lt;=84,"Achieving",I140&lt;=94,"Exceeding",I140&lt;=100,"Outstanding")</f>
        <v>Developing</v>
      </c>
      <c r="L140" s="6">
        <f>_xlfn.XLOOKUP(K140,Lookup_Performance!$C$2:$C$6,Lookup_Performance!$D$2:$D$6,"N/A",0)</f>
        <v>0.02</v>
      </c>
      <c r="M140" s="30">
        <f t="shared" si="7"/>
        <v>1054.4000000000001</v>
      </c>
      <c r="N140" s="26" t="s">
        <v>18</v>
      </c>
      <c r="O140" t="str">
        <f>TRIM(CLEAN(Table1[[#This Row],[Employment Status]]))</f>
        <v>Active</v>
      </c>
    </row>
    <row r="141" spans="2:15" x14ac:dyDescent="0.25">
      <c r="B141" t="s">
        <v>167</v>
      </c>
      <c r="C141" s="26" t="s">
        <v>301</v>
      </c>
      <c r="D141" t="s">
        <v>12</v>
      </c>
      <c r="E141" s="26" t="str">
        <f>_xlfn.XLOOKUP(D141,Lookup_Departments!$A$2:$A$7,Lookup_Departments!$B$2:$B$7,"Invalid Dept_Code",0)</f>
        <v>Operations</v>
      </c>
      <c r="F141" s="23">
        <v>42932</v>
      </c>
      <c r="G141" s="2" t="str">
        <f>TEXT(Table1[[#This Row],[Hire Date  ]],"yyyy")</f>
        <v>2017</v>
      </c>
      <c r="H141" s="7">
        <v>65065</v>
      </c>
      <c r="I141" s="28">
        <v>98</v>
      </c>
      <c r="J141" s="4">
        <f t="shared" ca="1" si="6"/>
        <v>8</v>
      </c>
      <c r="K141" s="6" t="str" cm="1">
        <f t="array" ref="K141">_xlfn.IFS(I141&lt;=49,"Needs Improvement",I141&lt;=69,"Developing",I141&lt;=84,"Achieving",I141&lt;=94,"Exceeding",I141&lt;=100,"Outstanding")</f>
        <v>Outstanding</v>
      </c>
      <c r="L141" s="6">
        <f>_xlfn.XLOOKUP(K141,Lookup_Performance!$C$2:$C$6,Lookup_Performance!$D$2:$D$6,"N/A",0)</f>
        <v>0.12</v>
      </c>
      <c r="M141" s="30">
        <f t="shared" si="7"/>
        <v>7807.7999999999993</v>
      </c>
      <c r="N141" s="26" t="s">
        <v>18</v>
      </c>
      <c r="O141" t="str">
        <f>TRIM(CLEAN(Table1[[#This Row],[Employment Status]]))</f>
        <v>Active</v>
      </c>
    </row>
    <row r="142" spans="2:15" x14ac:dyDescent="0.25">
      <c r="B142" t="s">
        <v>168</v>
      </c>
      <c r="C142" s="26" t="s">
        <v>294</v>
      </c>
      <c r="D142" t="s">
        <v>17</v>
      </c>
      <c r="E142" s="26" t="str">
        <f>_xlfn.XLOOKUP(D142,Lookup_Departments!$A$2:$A$7,Lookup_Departments!$B$2:$B$7,"Invalid Dept_Code",0)</f>
        <v>Sales</v>
      </c>
      <c r="F142" s="23">
        <v>42175</v>
      </c>
      <c r="G142" s="2" t="str">
        <f>TEXT(Table1[[#This Row],[Hire Date  ]],"yyyy")</f>
        <v>2015</v>
      </c>
      <c r="H142" s="7">
        <v>80907</v>
      </c>
      <c r="I142" s="28">
        <v>94</v>
      </c>
      <c r="J142" s="4">
        <f t="shared" ca="1" si="6"/>
        <v>11</v>
      </c>
      <c r="K142" s="6" t="str" cm="1">
        <f t="array" ref="K142">_xlfn.IFS(I142&lt;=49,"Needs Improvement",I142&lt;=69,"Developing",I142&lt;=84,"Achieving",I142&lt;=94,"Exceeding",I142&lt;=100,"Outstanding")</f>
        <v>Exceeding</v>
      </c>
      <c r="L142" s="6">
        <f>_xlfn.XLOOKUP(K142,Lookup_Performance!$C$2:$C$6,Lookup_Performance!$D$2:$D$6,"N/A",0)</f>
        <v>0.08</v>
      </c>
      <c r="M142" s="30">
        <f t="shared" si="7"/>
        <v>6472.56</v>
      </c>
      <c r="N142" s="26" t="s">
        <v>55</v>
      </c>
      <c r="O142" t="str">
        <f>TRIM(CLEAN(Table1[[#This Row],[Employment Status]]))</f>
        <v>Resigned</v>
      </c>
    </row>
    <row r="143" spans="2:15" x14ac:dyDescent="0.25">
      <c r="B143" t="s">
        <v>169</v>
      </c>
      <c r="C143" s="26" t="s">
        <v>294</v>
      </c>
      <c r="D143" t="s">
        <v>12</v>
      </c>
      <c r="E143" s="26" t="str">
        <f>_xlfn.XLOOKUP(D143,Lookup_Departments!$A$2:$A$7,Lookup_Departments!$B$2:$B$7,"Invalid Dept_Code",0)</f>
        <v>Operations</v>
      </c>
      <c r="F143" s="23">
        <v>43609</v>
      </c>
      <c r="G143" s="2" t="str">
        <f>TEXT(Table1[[#This Row],[Hire Date  ]],"yyyy")</f>
        <v>2019</v>
      </c>
      <c r="H143" s="7">
        <v>108119</v>
      </c>
      <c r="I143" s="28">
        <v>57</v>
      </c>
      <c r="J143" s="4">
        <f t="shared" ca="1" si="6"/>
        <v>7</v>
      </c>
      <c r="K143" s="6" t="str" cm="1">
        <f t="array" ref="K143">_xlfn.IFS(I143&lt;=49,"Needs Improvement",I143&lt;=69,"Developing",I143&lt;=84,"Achieving",I143&lt;=94,"Exceeding",I143&lt;=100,"Outstanding")</f>
        <v>Developing</v>
      </c>
      <c r="L143" s="6">
        <f>_xlfn.XLOOKUP(K143,Lookup_Performance!$C$2:$C$6,Lookup_Performance!$D$2:$D$6,"N/A",0)</f>
        <v>0.02</v>
      </c>
      <c r="M143" s="30">
        <f t="shared" si="7"/>
        <v>2162.38</v>
      </c>
      <c r="N143" s="26" t="s">
        <v>55</v>
      </c>
      <c r="O143" t="str">
        <f>TRIM(CLEAN(Table1[[#This Row],[Employment Status]]))</f>
        <v>Resigned</v>
      </c>
    </row>
    <row r="144" spans="2:15" x14ac:dyDescent="0.25">
      <c r="B144" t="s">
        <v>170</v>
      </c>
      <c r="C144" s="26" t="s">
        <v>241</v>
      </c>
      <c r="D144" t="s">
        <v>3</v>
      </c>
      <c r="E144" s="26" t="str">
        <f>_xlfn.XLOOKUP(D144,Lookup_Departments!$A$2:$A$7,Lookup_Departments!$B$2:$B$7,"Invalid Dept_Code",0)</f>
        <v>Information Technology</v>
      </c>
      <c r="F144" s="23">
        <v>43887</v>
      </c>
      <c r="G144" s="2" t="str">
        <f>TEXT(Table1[[#This Row],[Hire Date  ]],"yyyy")</f>
        <v>2020</v>
      </c>
      <c r="H144" s="7">
        <v>74560</v>
      </c>
      <c r="I144" s="28">
        <v>96</v>
      </c>
      <c r="J144" s="4">
        <f t="shared" ca="1" si="6"/>
        <v>6</v>
      </c>
      <c r="K144" s="6" t="str" cm="1">
        <f t="array" ref="K144">_xlfn.IFS(I144&lt;=49,"Needs Improvement",I144&lt;=69,"Developing",I144&lt;=84,"Achieving",I144&lt;=94,"Exceeding",I144&lt;=100,"Outstanding")</f>
        <v>Outstanding</v>
      </c>
      <c r="L144" s="6">
        <f>_xlfn.XLOOKUP(K144,Lookup_Performance!$C$2:$C$6,Lookup_Performance!$D$2:$D$6,"N/A",0)</f>
        <v>0.12</v>
      </c>
      <c r="M144" s="30">
        <f t="shared" si="7"/>
        <v>8947.1999999999989</v>
      </c>
      <c r="N144" s="26" t="s">
        <v>18</v>
      </c>
      <c r="O144" t="str">
        <f>TRIM(CLEAN(Table1[[#This Row],[Employment Status]]))</f>
        <v>Active</v>
      </c>
    </row>
    <row r="145" spans="2:15" x14ac:dyDescent="0.25">
      <c r="B145" t="s">
        <v>171</v>
      </c>
      <c r="C145" s="26" t="s">
        <v>244</v>
      </c>
      <c r="D145" t="s">
        <v>43</v>
      </c>
      <c r="E145" s="26" t="str">
        <f>_xlfn.XLOOKUP(D145,Lookup_Departments!$A$2:$A$7,Lookup_Departments!$B$2:$B$7,"Invalid Dept_Code",0)</f>
        <v>Human Resources</v>
      </c>
      <c r="F145" s="23">
        <v>44991</v>
      </c>
      <c r="G145" s="2" t="str">
        <f>TEXT(Table1[[#This Row],[Hire Date  ]],"yyyy")</f>
        <v>2023</v>
      </c>
      <c r="H145" s="7">
        <v>106896</v>
      </c>
      <c r="I145" s="28">
        <v>52</v>
      </c>
      <c r="J145" s="4">
        <f t="shared" ca="1" si="6"/>
        <v>3</v>
      </c>
      <c r="K145" s="6" t="str" cm="1">
        <f t="array" ref="K145">_xlfn.IFS(I145&lt;=49,"Needs Improvement",I145&lt;=69,"Developing",I145&lt;=84,"Achieving",I145&lt;=94,"Exceeding",I145&lt;=100,"Outstanding")</f>
        <v>Developing</v>
      </c>
      <c r="L145" s="6">
        <f>_xlfn.XLOOKUP(K145,Lookup_Performance!$C$2:$C$6,Lookup_Performance!$D$2:$D$6,"N/A",0)</f>
        <v>0.02</v>
      </c>
      <c r="M145" s="30">
        <f t="shared" si="7"/>
        <v>2137.92</v>
      </c>
      <c r="N145" s="26" t="s">
        <v>10</v>
      </c>
      <c r="O145" t="str">
        <f>TRIM(CLEAN(Table1[[#This Row],[Employment Status]]))</f>
        <v>Left</v>
      </c>
    </row>
    <row r="146" spans="2:15" x14ac:dyDescent="0.25">
      <c r="B146" t="s">
        <v>172</v>
      </c>
      <c r="C146" s="26" t="s">
        <v>302</v>
      </c>
      <c r="D146" t="s">
        <v>3</v>
      </c>
      <c r="E146" s="26" t="str">
        <f>_xlfn.XLOOKUP(D146,Lookup_Departments!$A$2:$A$7,Lookup_Departments!$B$2:$B$7,"Invalid Dept_Code",0)</f>
        <v>Information Technology</v>
      </c>
      <c r="F146" s="23" t="s">
        <v>173</v>
      </c>
      <c r="G146" s="2" t="str">
        <f>TEXT(Table1[[#This Row],[Hire Date  ]],"yyyy")</f>
        <v>2019</v>
      </c>
      <c r="H146" s="7">
        <v>112887</v>
      </c>
      <c r="I146" s="28">
        <v>59</v>
      </c>
      <c r="J146" s="4">
        <f t="shared" ca="1" si="6"/>
        <v>7</v>
      </c>
      <c r="K146" s="6" t="str" cm="1">
        <f t="array" ref="K146">_xlfn.IFS(I146&lt;=49,"Needs Improvement",I146&lt;=69,"Developing",I146&lt;=84,"Achieving",I146&lt;=94,"Exceeding",I146&lt;=100,"Outstanding")</f>
        <v>Developing</v>
      </c>
      <c r="L146" s="6">
        <f>_xlfn.XLOOKUP(K146,Lookup_Performance!$C$2:$C$6,Lookup_Performance!$D$2:$D$6,"N/A",0)</f>
        <v>0.02</v>
      </c>
      <c r="M146" s="30">
        <f t="shared" si="7"/>
        <v>2257.7400000000002</v>
      </c>
      <c r="N146" s="26" t="s">
        <v>18</v>
      </c>
      <c r="O146" t="str">
        <f>TRIM(CLEAN(Table1[[#This Row],[Employment Status]]))</f>
        <v>Active</v>
      </c>
    </row>
    <row r="147" spans="2:15" x14ac:dyDescent="0.25">
      <c r="B147" t="s">
        <v>174</v>
      </c>
      <c r="C147" s="26" t="s">
        <v>303</v>
      </c>
      <c r="D147" t="s">
        <v>8</v>
      </c>
      <c r="E147" s="26" t="str">
        <f>_xlfn.XLOOKUP(D147,Lookup_Departments!$A$2:$A$7,Lookup_Departments!$B$2:$B$7,"Invalid Dept_Code",0)</f>
        <v>Finance</v>
      </c>
      <c r="F147" s="23">
        <v>45037</v>
      </c>
      <c r="G147" s="2" t="str">
        <f>TEXT(Table1[[#This Row],[Hire Date  ]],"yyyy")</f>
        <v>2023</v>
      </c>
      <c r="H147" s="7">
        <v>85457</v>
      </c>
      <c r="I147" s="28">
        <v>79</v>
      </c>
      <c r="J147" s="4">
        <f t="shared" ca="1" si="6"/>
        <v>3</v>
      </c>
      <c r="K147" s="6" t="str" cm="1">
        <f t="array" ref="K147">_xlfn.IFS(I147&lt;=49,"Needs Improvement",I147&lt;=69,"Developing",I147&lt;=84,"Achieving",I147&lt;=94,"Exceeding",I147&lt;=100,"Outstanding")</f>
        <v>Achieving</v>
      </c>
      <c r="L147" s="6">
        <f>_xlfn.XLOOKUP(K147,Lookup_Performance!$C$2:$C$6,Lookup_Performance!$D$2:$D$6,"N/A",0)</f>
        <v>0.05</v>
      </c>
      <c r="M147" s="30">
        <f t="shared" si="7"/>
        <v>4272.8500000000004</v>
      </c>
      <c r="N147" s="26" t="s">
        <v>18</v>
      </c>
      <c r="O147" t="str">
        <f>TRIM(CLEAN(Table1[[#This Row],[Employment Status]]))</f>
        <v>Active</v>
      </c>
    </row>
    <row r="148" spans="2:15" x14ac:dyDescent="0.25">
      <c r="B148" t="s">
        <v>175</v>
      </c>
      <c r="C148" s="26" t="s">
        <v>304</v>
      </c>
      <c r="D148" t="s">
        <v>17</v>
      </c>
      <c r="E148" s="26" t="str">
        <f>_xlfn.XLOOKUP(D148,Lookup_Departments!$A$2:$A$7,Lookup_Departments!$B$2:$B$7,"Invalid Dept_Code",0)</f>
        <v>Sales</v>
      </c>
      <c r="F148" s="23">
        <v>42519</v>
      </c>
      <c r="G148" s="2" t="str">
        <f>TEXT(Table1[[#This Row],[Hire Date  ]],"yyyy")</f>
        <v>2016</v>
      </c>
      <c r="H148" s="7">
        <v>62798</v>
      </c>
      <c r="I148" s="28">
        <v>30</v>
      </c>
      <c r="J148" s="4">
        <f t="shared" ca="1" si="6"/>
        <v>10</v>
      </c>
      <c r="K148" s="6" t="str" cm="1">
        <f t="array" ref="K148">_xlfn.IFS(I148&lt;=49,"Needs Improvement",I148&lt;=69,"Developing",I148&lt;=84,"Achieving",I148&lt;=94,"Exceeding",I148&lt;=100,"Outstanding")</f>
        <v>Needs Improvement</v>
      </c>
      <c r="L148" s="6">
        <f>_xlfn.XLOOKUP(K148,Lookup_Performance!$C$2:$C$6,Lookup_Performance!$D$2:$D$6,"N/A",0)</f>
        <v>0</v>
      </c>
      <c r="M148" s="30">
        <f t="shared" si="7"/>
        <v>0</v>
      </c>
      <c r="N148" s="26" t="s">
        <v>18</v>
      </c>
      <c r="O148" t="str">
        <f>TRIM(CLEAN(Table1[[#This Row],[Employment Status]]))</f>
        <v>Active</v>
      </c>
    </row>
    <row r="149" spans="2:15" x14ac:dyDescent="0.25">
      <c r="B149" t="s">
        <v>176</v>
      </c>
      <c r="C149" s="26" t="s">
        <v>305</v>
      </c>
      <c r="D149" t="s">
        <v>12</v>
      </c>
      <c r="E149" s="26" t="str">
        <f>_xlfn.XLOOKUP(D149,Lookup_Departments!$A$2:$A$7,Lookup_Departments!$B$2:$B$7,"Invalid Dept_Code",0)</f>
        <v>Operations</v>
      </c>
      <c r="F149" s="23">
        <v>44711</v>
      </c>
      <c r="G149" s="2" t="str">
        <f>TEXT(Table1[[#This Row],[Hire Date  ]],"yyyy")</f>
        <v>2022</v>
      </c>
      <c r="H149" s="7">
        <v>47794</v>
      </c>
      <c r="I149" s="28">
        <v>73</v>
      </c>
      <c r="J149" s="4">
        <f t="shared" ca="1" si="6"/>
        <v>4</v>
      </c>
      <c r="K149" s="6" t="str" cm="1">
        <f t="array" ref="K149">_xlfn.IFS(I149&lt;=49,"Needs Improvement",I149&lt;=69,"Developing",I149&lt;=84,"Achieving",I149&lt;=94,"Exceeding",I149&lt;=100,"Outstanding")</f>
        <v>Achieving</v>
      </c>
      <c r="L149" s="6">
        <f>_xlfn.XLOOKUP(K149,Lookup_Performance!$C$2:$C$6,Lookup_Performance!$D$2:$D$6,"N/A",0)</f>
        <v>0.05</v>
      </c>
      <c r="M149" s="30">
        <f t="shared" si="7"/>
        <v>2389.7000000000003</v>
      </c>
      <c r="N149" s="26" t="s">
        <v>10</v>
      </c>
      <c r="O149" t="str">
        <f>TRIM(CLEAN(Table1[[#This Row],[Employment Status]]))</f>
        <v>Left</v>
      </c>
    </row>
    <row r="150" spans="2:15" x14ac:dyDescent="0.25">
      <c r="B150" t="s">
        <v>177</v>
      </c>
      <c r="C150" s="26" t="s">
        <v>286</v>
      </c>
      <c r="D150" t="s">
        <v>5</v>
      </c>
      <c r="E150" s="26" t="str">
        <f>_xlfn.XLOOKUP(D150,Lookup_Departments!$A$2:$A$7,Lookup_Departments!$B$2:$B$7,"Invalid Dept_Code",0)</f>
        <v>Marketing</v>
      </c>
      <c r="F150" s="23">
        <v>42677</v>
      </c>
      <c r="G150" s="2" t="str">
        <f>TEXT(Table1[[#This Row],[Hire Date  ]],"yyyy")</f>
        <v>2016</v>
      </c>
      <c r="H150" s="7">
        <v>93094</v>
      </c>
      <c r="I150" s="28">
        <v>74</v>
      </c>
      <c r="J150" s="4">
        <f t="shared" ca="1" si="6"/>
        <v>9</v>
      </c>
      <c r="K150" s="6" t="str" cm="1">
        <f t="array" ref="K150">_xlfn.IFS(I150&lt;=49,"Needs Improvement",I150&lt;=69,"Developing",I150&lt;=84,"Achieving",I150&lt;=94,"Exceeding",I150&lt;=100,"Outstanding")</f>
        <v>Achieving</v>
      </c>
      <c r="L150" s="6">
        <f>_xlfn.XLOOKUP(K150,Lookup_Performance!$C$2:$C$6,Lookup_Performance!$D$2:$D$6,"N/A",0)</f>
        <v>0.05</v>
      </c>
      <c r="M150" s="30">
        <f t="shared" si="7"/>
        <v>4654.7</v>
      </c>
      <c r="N150" s="26" t="s">
        <v>18</v>
      </c>
      <c r="O150" t="str">
        <f>TRIM(CLEAN(Table1[[#This Row],[Employment Status]]))</f>
        <v>Active</v>
      </c>
    </row>
    <row r="151" spans="2:15" x14ac:dyDescent="0.25">
      <c r="B151" t="s">
        <v>178</v>
      </c>
      <c r="C151" s="26" t="s">
        <v>283</v>
      </c>
      <c r="D151" t="s">
        <v>3</v>
      </c>
      <c r="E151" s="26" t="str">
        <f>_xlfn.XLOOKUP(D151,Lookup_Departments!$A$2:$A$7,Lookup_Departments!$B$2:$B$7,"Invalid Dept_Code",0)</f>
        <v>Information Technology</v>
      </c>
      <c r="F151" s="23">
        <v>44848</v>
      </c>
      <c r="G151" s="2" t="str">
        <f>TEXT(Table1[[#This Row],[Hire Date  ]],"yyyy")</f>
        <v>2022</v>
      </c>
      <c r="H151" s="7">
        <v>118634</v>
      </c>
      <c r="I151" s="28">
        <v>91</v>
      </c>
      <c r="J151" s="4">
        <f t="shared" ca="1" si="6"/>
        <v>3</v>
      </c>
      <c r="K151" s="6" t="str" cm="1">
        <f t="array" ref="K151">_xlfn.IFS(I151&lt;=49,"Needs Improvement",I151&lt;=69,"Developing",I151&lt;=84,"Achieving",I151&lt;=94,"Exceeding",I151&lt;=100,"Outstanding")</f>
        <v>Exceeding</v>
      </c>
      <c r="L151" s="6">
        <f>_xlfn.XLOOKUP(K151,Lookup_Performance!$C$2:$C$6,Lookup_Performance!$D$2:$D$6,"N/A",0)</f>
        <v>0.08</v>
      </c>
      <c r="M151" s="30">
        <f t="shared" si="7"/>
        <v>9490.7199999999993</v>
      </c>
      <c r="N151" s="26" t="s">
        <v>18</v>
      </c>
      <c r="O151" t="str">
        <f>TRIM(CLEAN(Table1[[#This Row],[Employment Status]]))</f>
        <v>Active</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D62" sqref="D62"/>
    </sheetView>
  </sheetViews>
  <sheetFormatPr defaultRowHeight="15" x14ac:dyDescent="0.25"/>
  <cols>
    <col min="1" max="1" width="10.85546875" bestFit="1" customWidth="1"/>
    <col min="2" max="2" width="22.5703125" bestFit="1" customWidth="1"/>
  </cols>
  <sheetData>
    <row r="1" spans="1:2" x14ac:dyDescent="0.25">
      <c r="A1" s="1" t="s">
        <v>179</v>
      </c>
      <c r="B1" s="1" t="s">
        <v>180</v>
      </c>
    </row>
    <row r="2" spans="1:2" x14ac:dyDescent="0.25">
      <c r="A2" t="s">
        <v>43</v>
      </c>
      <c r="B2" t="s">
        <v>181</v>
      </c>
    </row>
    <row r="3" spans="1:2" x14ac:dyDescent="0.25">
      <c r="A3" t="s">
        <v>3</v>
      </c>
      <c r="B3" t="s">
        <v>182</v>
      </c>
    </row>
    <row r="4" spans="1:2" x14ac:dyDescent="0.25">
      <c r="A4" t="s">
        <v>8</v>
      </c>
      <c r="B4" t="s">
        <v>183</v>
      </c>
    </row>
    <row r="5" spans="1:2" x14ac:dyDescent="0.25">
      <c r="A5" t="s">
        <v>5</v>
      </c>
      <c r="B5" t="s">
        <v>184</v>
      </c>
    </row>
    <row r="6" spans="1:2" x14ac:dyDescent="0.25">
      <c r="A6" t="s">
        <v>17</v>
      </c>
      <c r="B6" t="s">
        <v>185</v>
      </c>
    </row>
    <row r="7" spans="1:2" x14ac:dyDescent="0.25">
      <c r="A7" t="s">
        <v>12</v>
      </c>
      <c r="B7"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62" sqref="D62"/>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187</v>
      </c>
      <c r="B1" s="1" t="s">
        <v>188</v>
      </c>
      <c r="C1" s="1" t="s">
        <v>189</v>
      </c>
      <c r="D1" s="1" t="s">
        <v>190</v>
      </c>
    </row>
    <row r="2" spans="1:4" x14ac:dyDescent="0.25">
      <c r="A2">
        <v>0</v>
      </c>
      <c r="B2">
        <v>49</v>
      </c>
      <c r="C2" t="s">
        <v>191</v>
      </c>
      <c r="D2">
        <v>0</v>
      </c>
    </row>
    <row r="3" spans="1:4" x14ac:dyDescent="0.25">
      <c r="A3">
        <v>50</v>
      </c>
      <c r="B3">
        <v>69</v>
      </c>
      <c r="C3" t="s">
        <v>192</v>
      </c>
      <c r="D3">
        <v>0.02</v>
      </c>
    </row>
    <row r="4" spans="1:4" x14ac:dyDescent="0.25">
      <c r="A4">
        <v>70</v>
      </c>
      <c r="B4">
        <v>84</v>
      </c>
      <c r="C4" t="s">
        <v>193</v>
      </c>
      <c r="D4">
        <v>0.05</v>
      </c>
    </row>
    <row r="5" spans="1:4" x14ac:dyDescent="0.25">
      <c r="A5">
        <v>85</v>
      </c>
      <c r="B5">
        <v>94</v>
      </c>
      <c r="C5" t="s">
        <v>194</v>
      </c>
      <c r="D5">
        <v>0.08</v>
      </c>
    </row>
    <row r="6" spans="1:4" x14ac:dyDescent="0.25">
      <c r="A6">
        <v>95</v>
      </c>
      <c r="B6">
        <v>100</v>
      </c>
      <c r="C6" t="s">
        <v>195</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AADC-3CF1-46AF-900C-7C4C6CEE5F92}">
  <dimension ref="B1:L68"/>
  <sheetViews>
    <sheetView zoomScale="80" zoomScaleNormal="80" workbookViewId="0">
      <selection activeCell="E4" sqref="E4"/>
    </sheetView>
  </sheetViews>
  <sheetFormatPr defaultRowHeight="15" x14ac:dyDescent="0.25"/>
  <cols>
    <col min="2" max="2" width="15.7109375" bestFit="1" customWidth="1"/>
    <col min="3" max="3" width="22.7109375" bestFit="1" customWidth="1"/>
    <col min="4" max="4" width="4.5703125" bestFit="1" customWidth="1"/>
    <col min="5" max="5" width="21.28515625" bestFit="1" customWidth="1"/>
    <col min="6" max="6" width="13.140625" bestFit="1" customWidth="1"/>
    <col min="7" max="7" width="24.85546875" bestFit="1" customWidth="1"/>
    <col min="8" max="8" width="21.28515625" bestFit="1" customWidth="1"/>
    <col min="9" max="9" width="15.7109375" bestFit="1" customWidth="1"/>
    <col min="10" max="10" width="9.28515625" bestFit="1" customWidth="1"/>
    <col min="11" max="11" width="11.5703125" bestFit="1" customWidth="1"/>
    <col min="12" max="12" width="5" bestFit="1" customWidth="1"/>
    <col min="13" max="14" width="11.42578125" bestFit="1" customWidth="1"/>
    <col min="15" max="15" width="14.85546875" bestFit="1" customWidth="1"/>
    <col min="16" max="16" width="15.7109375" bestFit="1" customWidth="1"/>
  </cols>
  <sheetData>
    <row r="1" spans="2:6" x14ac:dyDescent="0.25">
      <c r="B1" s="31" t="s">
        <v>313</v>
      </c>
      <c r="C1" s="31"/>
      <c r="D1" s="31"/>
      <c r="E1" s="31"/>
    </row>
    <row r="3" spans="2:6" x14ac:dyDescent="0.25">
      <c r="B3" t="s">
        <v>317</v>
      </c>
      <c r="D3" t="s">
        <v>314</v>
      </c>
    </row>
    <row r="4" spans="2:6" x14ac:dyDescent="0.25">
      <c r="B4" s="14">
        <v>150</v>
      </c>
      <c r="C4">
        <f>GETPIVOTDATA("[Measures].[Count of Emp ID]",$B$3)</f>
        <v>150</v>
      </c>
      <c r="D4" s="22">
        <v>83341.106666666674</v>
      </c>
      <c r="E4" s="22">
        <f>GETPIVOTDATA("[Measures].[Average of Salary]",$D$3)</f>
        <v>83341.106666666674</v>
      </c>
    </row>
    <row r="5" spans="2:6" x14ac:dyDescent="0.25">
      <c r="B5" s="14"/>
      <c r="D5" s="15"/>
    </row>
    <row r="6" spans="2:6" x14ac:dyDescent="0.25">
      <c r="B6" s="14"/>
      <c r="D6" s="15"/>
    </row>
    <row r="8" spans="2:6" x14ac:dyDescent="0.25">
      <c r="B8" s="12" t="s">
        <v>321</v>
      </c>
      <c r="C8" t="s">
        <v>327</v>
      </c>
      <c r="E8" s="12" t="s">
        <v>321</v>
      </c>
      <c r="F8" t="s">
        <v>314</v>
      </c>
    </row>
    <row r="9" spans="2:6" x14ac:dyDescent="0.25">
      <c r="B9" s="13" t="s">
        <v>183</v>
      </c>
      <c r="C9" s="14">
        <v>17</v>
      </c>
      <c r="E9" s="13" t="s">
        <v>183</v>
      </c>
      <c r="F9" s="15">
        <v>89240.23529411765</v>
      </c>
    </row>
    <row r="10" spans="2:6" x14ac:dyDescent="0.25">
      <c r="B10" s="13" t="s">
        <v>181</v>
      </c>
      <c r="C10" s="14">
        <v>18</v>
      </c>
      <c r="E10" s="13" t="s">
        <v>181</v>
      </c>
      <c r="F10" s="15">
        <v>85688.777777777781</v>
      </c>
    </row>
    <row r="11" spans="2:6" x14ac:dyDescent="0.25">
      <c r="B11" s="13" t="s">
        <v>182</v>
      </c>
      <c r="C11" s="14">
        <v>36</v>
      </c>
      <c r="E11" s="13" t="s">
        <v>182</v>
      </c>
      <c r="F11" s="15">
        <v>79256.722222222219</v>
      </c>
    </row>
    <row r="12" spans="2:6" x14ac:dyDescent="0.25">
      <c r="B12" s="13" t="s">
        <v>184</v>
      </c>
      <c r="C12" s="14">
        <v>19</v>
      </c>
      <c r="E12" s="13" t="s">
        <v>184</v>
      </c>
      <c r="F12" s="15">
        <v>85675.578947368427</v>
      </c>
    </row>
    <row r="13" spans="2:6" x14ac:dyDescent="0.25">
      <c r="B13" s="13" t="s">
        <v>186</v>
      </c>
      <c r="C13" s="14">
        <v>29</v>
      </c>
      <c r="E13" s="13" t="s">
        <v>186</v>
      </c>
      <c r="F13" s="15">
        <v>79512.275862068971</v>
      </c>
    </row>
    <row r="14" spans="2:6" x14ac:dyDescent="0.25">
      <c r="B14" s="13" t="s">
        <v>185</v>
      </c>
      <c r="C14" s="14">
        <v>31</v>
      </c>
      <c r="E14" s="13" t="s">
        <v>185</v>
      </c>
      <c r="F14" s="15">
        <v>85637.096774193546</v>
      </c>
    </row>
    <row r="15" spans="2:6" x14ac:dyDescent="0.25">
      <c r="B15" s="13" t="s">
        <v>312</v>
      </c>
      <c r="C15" s="14">
        <v>150</v>
      </c>
      <c r="E15" s="13" t="s">
        <v>312</v>
      </c>
      <c r="F15" s="15">
        <v>83341.106666666674</v>
      </c>
    </row>
    <row r="17" spans="2:11" x14ac:dyDescent="0.25">
      <c r="C17" s="31" t="s">
        <v>315</v>
      </c>
      <c r="D17" s="31"/>
      <c r="E17" s="31"/>
      <c r="F17" s="31"/>
      <c r="G17" s="31"/>
    </row>
    <row r="18" spans="2:11" x14ac:dyDescent="0.25">
      <c r="C18" s="21"/>
      <c r="D18" s="21"/>
      <c r="E18" s="21"/>
      <c r="F18" s="21"/>
      <c r="G18" s="21"/>
    </row>
    <row r="19" spans="2:11" x14ac:dyDescent="0.25">
      <c r="C19" s="16"/>
      <c r="D19" s="16"/>
      <c r="E19" s="16"/>
      <c r="F19" s="16"/>
      <c r="G19" s="16"/>
    </row>
    <row r="20" spans="2:11" x14ac:dyDescent="0.25">
      <c r="B20" s="12" t="s">
        <v>1</v>
      </c>
      <c r="C20" t="s">
        <v>328</v>
      </c>
      <c r="D20" s="16"/>
      <c r="E20" s="12" t="s">
        <v>325</v>
      </c>
      <c r="F20" s="12" t="s">
        <v>326</v>
      </c>
      <c r="G20" s="16"/>
      <c r="H20" s="12" t="s">
        <v>325</v>
      </c>
      <c r="I20" s="12" t="s">
        <v>326</v>
      </c>
    </row>
    <row r="21" spans="2:11" x14ac:dyDescent="0.25">
      <c r="B21" s="13" t="s">
        <v>18</v>
      </c>
      <c r="C21" s="14">
        <v>116</v>
      </c>
      <c r="E21" s="12" t="s">
        <v>321</v>
      </c>
      <c r="F21" s="14" t="s">
        <v>18</v>
      </c>
      <c r="H21" s="12" t="s">
        <v>321</v>
      </c>
      <c r="I21" s="14" t="s">
        <v>18</v>
      </c>
      <c r="J21" s="14" t="s">
        <v>10</v>
      </c>
      <c r="K21" s="14" t="s">
        <v>55</v>
      </c>
    </row>
    <row r="22" spans="2:11" x14ac:dyDescent="0.25">
      <c r="B22" s="13" t="s">
        <v>10</v>
      </c>
      <c r="C22" s="14">
        <v>24</v>
      </c>
      <c r="E22" s="13" t="s">
        <v>185</v>
      </c>
      <c r="F22" s="14">
        <v>25</v>
      </c>
      <c r="H22" s="13" t="s">
        <v>185</v>
      </c>
      <c r="I22" s="14">
        <v>25</v>
      </c>
      <c r="J22" s="14">
        <v>4</v>
      </c>
      <c r="K22" s="14">
        <v>2</v>
      </c>
    </row>
    <row r="23" spans="2:11" x14ac:dyDescent="0.25">
      <c r="B23" s="13" t="s">
        <v>55</v>
      </c>
      <c r="C23" s="14">
        <v>10</v>
      </c>
      <c r="E23" s="13" t="s">
        <v>312</v>
      </c>
      <c r="F23" s="14">
        <v>25</v>
      </c>
      <c r="H23" s="13" t="s">
        <v>312</v>
      </c>
      <c r="I23" s="14">
        <v>25</v>
      </c>
      <c r="J23" s="14">
        <v>4</v>
      </c>
      <c r="K23" s="14">
        <v>2</v>
      </c>
    </row>
    <row r="24" spans="2:11" x14ac:dyDescent="0.25">
      <c r="B24" s="13" t="s">
        <v>312</v>
      </c>
      <c r="C24" s="14">
        <v>150</v>
      </c>
    </row>
    <row r="25" spans="2:11" x14ac:dyDescent="0.25">
      <c r="B25" s="13"/>
      <c r="C25" s="14"/>
    </row>
    <row r="26" spans="2:11" x14ac:dyDescent="0.25">
      <c r="B26" s="13"/>
      <c r="C26" s="14"/>
    </row>
    <row r="28" spans="2:11" x14ac:dyDescent="0.25">
      <c r="B28" s="12" t="s">
        <v>317</v>
      </c>
      <c r="C28" s="12" t="s">
        <v>316</v>
      </c>
      <c r="G28" s="12" t="s">
        <v>317</v>
      </c>
      <c r="H28" s="12" t="s">
        <v>316</v>
      </c>
    </row>
    <row r="29" spans="2:11" x14ac:dyDescent="0.25">
      <c r="B29" s="12" t="s">
        <v>311</v>
      </c>
      <c r="C29" t="s">
        <v>18</v>
      </c>
      <c r="D29" t="s">
        <v>10</v>
      </c>
      <c r="E29" t="s">
        <v>55</v>
      </c>
      <c r="G29" s="12" t="s">
        <v>311</v>
      </c>
      <c r="H29" t="s">
        <v>18</v>
      </c>
      <c r="I29" t="s">
        <v>10</v>
      </c>
      <c r="J29" t="s">
        <v>55</v>
      </c>
      <c r="K29" t="s">
        <v>312</v>
      </c>
    </row>
    <row r="30" spans="2:11" x14ac:dyDescent="0.25">
      <c r="B30" s="13" t="s">
        <v>183</v>
      </c>
      <c r="C30" s="14">
        <v>14</v>
      </c>
      <c r="D30" s="14">
        <v>3</v>
      </c>
      <c r="E30" s="14"/>
      <c r="G30" s="13" t="s">
        <v>183</v>
      </c>
      <c r="H30" s="17">
        <v>0.82352941176470584</v>
      </c>
      <c r="I30" s="17">
        <v>0.17647058823529413</v>
      </c>
      <c r="J30" s="17">
        <v>0</v>
      </c>
      <c r="K30" s="17">
        <v>1</v>
      </c>
    </row>
    <row r="31" spans="2:11" x14ac:dyDescent="0.25">
      <c r="B31" s="13" t="s">
        <v>181</v>
      </c>
      <c r="C31" s="14">
        <v>15</v>
      </c>
      <c r="D31" s="14">
        <v>2</v>
      </c>
      <c r="E31" s="14">
        <v>1</v>
      </c>
      <c r="G31" s="13" t="s">
        <v>181</v>
      </c>
      <c r="H31" s="17">
        <v>0.83333333333333337</v>
      </c>
      <c r="I31" s="17">
        <v>0.1111111111111111</v>
      </c>
      <c r="J31" s="17">
        <v>5.5555555555555552E-2</v>
      </c>
      <c r="K31" s="17">
        <v>1</v>
      </c>
    </row>
    <row r="32" spans="2:11" x14ac:dyDescent="0.25">
      <c r="B32" s="13" t="s">
        <v>182</v>
      </c>
      <c r="C32" s="14">
        <v>28</v>
      </c>
      <c r="D32" s="14">
        <v>6</v>
      </c>
      <c r="E32" s="14">
        <v>2</v>
      </c>
      <c r="G32" s="13" t="s">
        <v>182</v>
      </c>
      <c r="H32" s="17">
        <v>0.77777777777777779</v>
      </c>
      <c r="I32" s="17">
        <v>0.16666666666666666</v>
      </c>
      <c r="J32" s="17">
        <v>5.5555555555555552E-2</v>
      </c>
      <c r="K32" s="17">
        <v>1</v>
      </c>
    </row>
    <row r="33" spans="2:12" x14ac:dyDescent="0.25">
      <c r="B33" s="13" t="s">
        <v>184</v>
      </c>
      <c r="C33" s="14">
        <v>16</v>
      </c>
      <c r="D33" s="14">
        <v>3</v>
      </c>
      <c r="E33" s="14"/>
      <c r="F33" s="14"/>
      <c r="G33" s="13" t="s">
        <v>184</v>
      </c>
      <c r="H33" s="17">
        <v>0.84210526315789469</v>
      </c>
      <c r="I33" s="17">
        <v>0.15789473684210525</v>
      </c>
      <c r="J33" s="17">
        <v>0</v>
      </c>
      <c r="K33" s="17">
        <v>1</v>
      </c>
      <c r="L33" s="17"/>
    </row>
    <row r="34" spans="2:12" x14ac:dyDescent="0.25">
      <c r="B34" s="13" t="s">
        <v>186</v>
      </c>
      <c r="C34" s="14">
        <v>18</v>
      </c>
      <c r="D34" s="14">
        <v>6</v>
      </c>
      <c r="E34" s="14">
        <v>5</v>
      </c>
      <c r="F34" s="14"/>
      <c r="G34" s="13" t="s">
        <v>186</v>
      </c>
      <c r="H34" s="17">
        <v>0.62068965517241381</v>
      </c>
      <c r="I34" s="17">
        <v>0.20689655172413793</v>
      </c>
      <c r="J34" s="17">
        <v>0.17241379310344829</v>
      </c>
      <c r="K34" s="17">
        <v>1</v>
      </c>
      <c r="L34" s="17"/>
    </row>
    <row r="35" spans="2:12" x14ac:dyDescent="0.25">
      <c r="B35" s="13" t="s">
        <v>185</v>
      </c>
      <c r="C35" s="14">
        <v>25</v>
      </c>
      <c r="D35" s="14">
        <v>4</v>
      </c>
      <c r="E35" s="14">
        <v>2</v>
      </c>
      <c r="F35" s="14"/>
      <c r="G35" s="13" t="s">
        <v>185</v>
      </c>
      <c r="H35" s="17">
        <v>0.80645161290322576</v>
      </c>
      <c r="I35" s="17">
        <v>0.12903225806451613</v>
      </c>
      <c r="J35" s="17">
        <v>6.4516129032258063E-2</v>
      </c>
      <c r="K35" s="17">
        <v>1</v>
      </c>
      <c r="L35" s="17"/>
    </row>
    <row r="36" spans="2:12" x14ac:dyDescent="0.25">
      <c r="B36" s="13" t="s">
        <v>312</v>
      </c>
      <c r="C36" s="14">
        <v>116</v>
      </c>
      <c r="D36" s="14">
        <v>24</v>
      </c>
      <c r="E36" s="14">
        <v>10</v>
      </c>
      <c r="F36" s="14"/>
      <c r="G36" s="13" t="s">
        <v>312</v>
      </c>
      <c r="H36" s="17">
        <v>0.77333333333333332</v>
      </c>
      <c r="I36" s="17">
        <v>0.16</v>
      </c>
      <c r="J36" s="17">
        <v>6.6666666666666666E-2</v>
      </c>
      <c r="K36" s="17">
        <v>1</v>
      </c>
      <c r="L36" s="24">
        <f>GETPIVOTDATA("[Measures].[Count of Emp ID]",$G$28,"[Table1].[Employment Status]","[Table1].[Employment Status].&amp;[Left]")</f>
        <v>0.16</v>
      </c>
    </row>
    <row r="37" spans="2:12" x14ac:dyDescent="0.25">
      <c r="D37" s="14"/>
      <c r="E37" s="14"/>
      <c r="J37" s="17"/>
      <c r="K37" s="17"/>
      <c r="L37" s="17"/>
    </row>
    <row r="38" spans="2:12" x14ac:dyDescent="0.25">
      <c r="D38" s="14"/>
      <c r="E38" s="14"/>
      <c r="J38" s="17"/>
      <c r="K38" s="17"/>
      <c r="L38" s="17"/>
    </row>
    <row r="41" spans="2:12" x14ac:dyDescent="0.25">
      <c r="B41" s="31" t="s">
        <v>318</v>
      </c>
      <c r="C41" s="31"/>
      <c r="D41" s="31"/>
      <c r="E41" s="31"/>
    </row>
    <row r="43" spans="2:12" x14ac:dyDescent="0.25">
      <c r="B43" s="12" t="s">
        <v>306</v>
      </c>
      <c r="C43" t="s">
        <v>324</v>
      </c>
    </row>
    <row r="44" spans="2:12" x14ac:dyDescent="0.25">
      <c r="B44" s="13" t="s">
        <v>181</v>
      </c>
      <c r="C44" s="20">
        <v>71</v>
      </c>
      <c r="H44" s="12" t="s">
        <v>311</v>
      </c>
      <c r="I44" t="s">
        <v>317</v>
      </c>
    </row>
    <row r="45" spans="2:12" x14ac:dyDescent="0.25">
      <c r="B45" s="13" t="s">
        <v>184</v>
      </c>
      <c r="C45" s="20">
        <v>73.21052631578948</v>
      </c>
      <c r="H45" s="13" t="s">
        <v>193</v>
      </c>
      <c r="I45" s="17">
        <v>0.27333333333333332</v>
      </c>
    </row>
    <row r="46" spans="2:12" x14ac:dyDescent="0.25">
      <c r="B46" s="13" t="s">
        <v>312</v>
      </c>
      <c r="C46" s="20">
        <v>72.13513513513513</v>
      </c>
      <c r="E46" s="12" t="s">
        <v>333</v>
      </c>
      <c r="F46" t="s">
        <v>322</v>
      </c>
      <c r="H46" s="13" t="s">
        <v>192</v>
      </c>
      <c r="I46" s="17">
        <v>0.32666666666666666</v>
      </c>
    </row>
    <row r="47" spans="2:12" x14ac:dyDescent="0.25">
      <c r="E47" s="13" t="s">
        <v>191</v>
      </c>
      <c r="F47" s="20">
        <v>0</v>
      </c>
      <c r="H47" s="13" t="s">
        <v>194</v>
      </c>
      <c r="I47" s="17">
        <v>0.14666666666666667</v>
      </c>
    </row>
    <row r="48" spans="2:12" x14ac:dyDescent="0.25">
      <c r="E48" s="13" t="s">
        <v>192</v>
      </c>
      <c r="F48" s="20">
        <v>84484.200000000012</v>
      </c>
      <c r="H48" s="13" t="s">
        <v>191</v>
      </c>
      <c r="I48" s="17">
        <v>0.18666666666666668</v>
      </c>
    </row>
    <row r="49" spans="2:10" x14ac:dyDescent="0.25">
      <c r="B49" s="12" t="s">
        <v>311</v>
      </c>
      <c r="C49" t="s">
        <v>324</v>
      </c>
      <c r="E49" s="13" t="s">
        <v>195</v>
      </c>
      <c r="F49" s="20">
        <v>91326.24</v>
      </c>
      <c r="H49" s="13" t="s">
        <v>195</v>
      </c>
      <c r="I49" s="17">
        <v>6.6666666666666666E-2</v>
      </c>
    </row>
    <row r="50" spans="2:10" x14ac:dyDescent="0.25">
      <c r="B50" s="13" t="s">
        <v>183</v>
      </c>
      <c r="C50" s="20">
        <v>68.941176470588232</v>
      </c>
      <c r="E50" s="13" t="s">
        <v>194</v>
      </c>
      <c r="F50" s="20">
        <v>144880.48000000001</v>
      </c>
      <c r="H50" s="13" t="s">
        <v>312</v>
      </c>
      <c r="I50" s="17">
        <v>1</v>
      </c>
    </row>
    <row r="51" spans="2:10" x14ac:dyDescent="0.25">
      <c r="B51" s="13" t="s">
        <v>181</v>
      </c>
      <c r="C51" s="20">
        <v>71</v>
      </c>
      <c r="E51" s="13" t="s">
        <v>193</v>
      </c>
      <c r="F51" s="20">
        <v>164690.80000000005</v>
      </c>
    </row>
    <row r="52" spans="2:10" x14ac:dyDescent="0.25">
      <c r="B52" s="13" t="s">
        <v>182</v>
      </c>
      <c r="C52" s="20">
        <v>65.388888888888886</v>
      </c>
      <c r="E52" s="13" t="s">
        <v>312</v>
      </c>
      <c r="F52" s="20">
        <v>485381.72000000015</v>
      </c>
    </row>
    <row r="53" spans="2:10" x14ac:dyDescent="0.25">
      <c r="B53" s="13" t="s">
        <v>184</v>
      </c>
      <c r="C53" s="20">
        <v>73.21052631578948</v>
      </c>
    </row>
    <row r="54" spans="2:10" x14ac:dyDescent="0.25">
      <c r="B54" s="13" t="s">
        <v>186</v>
      </c>
      <c r="C54" s="20">
        <v>69.931034482758619</v>
      </c>
    </row>
    <row r="55" spans="2:10" x14ac:dyDescent="0.25">
      <c r="B55" s="13" t="s">
        <v>185</v>
      </c>
      <c r="C55" s="20">
        <v>64.129032258064512</v>
      </c>
    </row>
    <row r="56" spans="2:10" x14ac:dyDescent="0.25">
      <c r="B56" s="13" t="s">
        <v>312</v>
      </c>
      <c r="C56" s="20">
        <v>68.073333333333338</v>
      </c>
    </row>
    <row r="60" spans="2:10" x14ac:dyDescent="0.25">
      <c r="C60" s="31" t="s">
        <v>322</v>
      </c>
      <c r="D60" s="31"/>
      <c r="E60" s="13"/>
      <c r="F60" s="20"/>
    </row>
    <row r="62" spans="2:10" x14ac:dyDescent="0.25">
      <c r="B62" t="s">
        <v>330</v>
      </c>
      <c r="E62" s="12" t="s">
        <v>329</v>
      </c>
      <c r="F62" t="s">
        <v>323</v>
      </c>
      <c r="H62" s="12" t="s">
        <v>329</v>
      </c>
      <c r="I62" t="s">
        <v>335</v>
      </c>
      <c r="J62" t="s">
        <v>334</v>
      </c>
    </row>
    <row r="63" spans="2:10" x14ac:dyDescent="0.25">
      <c r="B63" s="15">
        <v>485381.72000000015</v>
      </c>
      <c r="E63" s="13" t="s">
        <v>193</v>
      </c>
      <c r="F63" s="15">
        <v>164690.80000000005</v>
      </c>
      <c r="H63" s="13" t="s">
        <v>193</v>
      </c>
      <c r="I63" s="20">
        <v>77.048780487804876</v>
      </c>
      <c r="J63" s="15">
        <v>4016.8487804878059</v>
      </c>
    </row>
    <row r="64" spans="2:10" x14ac:dyDescent="0.25">
      <c r="E64" s="13" t="s">
        <v>192</v>
      </c>
      <c r="F64" s="15">
        <v>84484.200000000012</v>
      </c>
      <c r="H64" s="13" t="s">
        <v>192</v>
      </c>
      <c r="I64" s="20">
        <v>61.224489795918366</v>
      </c>
      <c r="J64" s="15">
        <v>1724.1673469387758</v>
      </c>
    </row>
    <row r="65" spans="2:10" x14ac:dyDescent="0.25">
      <c r="B65" s="12" t="s">
        <v>329</v>
      </c>
      <c r="C65" t="s">
        <v>331</v>
      </c>
      <c r="E65" s="13" t="s">
        <v>194</v>
      </c>
      <c r="F65" s="15">
        <v>144880.48000000001</v>
      </c>
      <c r="H65" s="13" t="s">
        <v>194</v>
      </c>
      <c r="I65" s="20">
        <v>90.63636363636364</v>
      </c>
      <c r="J65" s="15">
        <v>6585.4763636363641</v>
      </c>
    </row>
    <row r="66" spans="2:10" x14ac:dyDescent="0.25">
      <c r="B66" s="13" t="s">
        <v>182</v>
      </c>
      <c r="C66" s="15">
        <v>103135.38999999998</v>
      </c>
      <c r="E66" s="13" t="s">
        <v>191</v>
      </c>
      <c r="F66" s="15">
        <v>0</v>
      </c>
      <c r="H66" s="13" t="s">
        <v>191</v>
      </c>
      <c r="I66" s="20">
        <v>38.857142857142854</v>
      </c>
      <c r="J66" s="15">
        <v>0</v>
      </c>
    </row>
    <row r="67" spans="2:10" x14ac:dyDescent="0.25">
      <c r="B67" s="13" t="s">
        <v>312</v>
      </c>
      <c r="C67" s="15">
        <v>103135.38999999998</v>
      </c>
      <c r="E67" s="13" t="s">
        <v>195</v>
      </c>
      <c r="F67" s="15">
        <v>91326.24</v>
      </c>
      <c r="H67" s="13" t="s">
        <v>195</v>
      </c>
      <c r="I67" s="20">
        <v>97</v>
      </c>
      <c r="J67" s="15">
        <v>9132.6239999999998</v>
      </c>
    </row>
    <row r="68" spans="2:10" x14ac:dyDescent="0.25">
      <c r="E68" s="13" t="s">
        <v>312</v>
      </c>
      <c r="F68" s="15">
        <v>485381.72000000015</v>
      </c>
      <c r="G68" s="15">
        <f>GETPIVOTDATA("[Measures].[Sum of Eligible Bonus Amount]",$E$62)</f>
        <v>485381.72000000015</v>
      </c>
      <c r="H68" s="13" t="s">
        <v>312</v>
      </c>
      <c r="I68" s="20">
        <v>68.073333333333338</v>
      </c>
      <c r="J68" s="15">
        <v>3235.8781333333345</v>
      </c>
    </row>
  </sheetData>
  <mergeCells count="4">
    <mergeCell ref="C17:G17"/>
    <mergeCell ref="B1:E1"/>
    <mergeCell ref="C60:D60"/>
    <mergeCell ref="B41:E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C508-7C66-468E-AC7A-DC8D7E607EDF}">
  <dimension ref="R13"/>
  <sheetViews>
    <sheetView showGridLines="0" zoomScaleNormal="100" workbookViewId="0"/>
  </sheetViews>
  <sheetFormatPr defaultRowHeight="15" x14ac:dyDescent="0.25"/>
  <sheetData>
    <row r="13" spans="18:18" x14ac:dyDescent="0.25">
      <c r="R1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2F3F-3275-4EC8-A4B4-47C666DEF25E}">
  <dimension ref="A1"/>
  <sheetViews>
    <sheetView showGridLine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Lookup_Departments</vt:lpstr>
      <vt:lpstr>Lookup_Performance</vt:lpstr>
      <vt:lpstr>Analysis</vt:lpstr>
      <vt:lpstr>HR_Dashboard_Workforce</vt:lpstr>
      <vt:lpstr>HR_Dashboard_Performance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Adeniran Barakat Dasolami</cp:lastModifiedBy>
  <dcterms:created xsi:type="dcterms:W3CDTF">2026-06-04T20:20:01Z</dcterms:created>
  <dcterms:modified xsi:type="dcterms:W3CDTF">2026-07-10T09:21:00Z</dcterms:modified>
</cp:coreProperties>
</file>