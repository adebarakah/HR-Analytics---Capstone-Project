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Capstone_Project\Excel-Capstone-Project\data\"/>
    </mc:Choice>
  </mc:AlternateContent>
  <xr:revisionPtr revIDLastSave="0" documentId="13_ncr:1_{2F746AA6-4102-44A7-893D-01569DDB5670}" xr6:coauthVersionLast="47" xr6:coauthVersionMax="47" xr10:uidLastSave="{00000000-0000-0000-0000-000000000000}"/>
  <bookViews>
    <workbookView xWindow="-120" yWindow="-120" windowWidth="20730" windowHeight="11760" activeTab="3" xr2:uid="{00000000-000D-0000-FFFF-FFFF00000000}"/>
  </bookViews>
  <sheets>
    <sheet name="Raw_Employee_Data" sheetId="1" r:id="rId1"/>
    <sheet name="Lookup_Departments" sheetId="2" r:id="rId2"/>
    <sheet name="Lookup_Performance" sheetId="3" r:id="rId3"/>
    <sheet name="Analysis" sheetId="5" r:id="rId4"/>
    <sheet name="Dashboard" sheetId="6" r:id="rId5"/>
    <sheet name="Sheet1" sheetId="7" r:id="rId6"/>
  </sheets>
  <definedNames>
    <definedName name="_xlcn.WorksheetConnection_HR_Analytics_Capstone_Raw_Data2.xlsxTable11" hidden="1">Table1[]</definedName>
  </definedNames>
  <calcPr calcId="191029"/>
  <pivotCaches>
    <pivotCache cacheId="150" r:id="rId7"/>
    <pivotCache cacheId="153" r:id="rId8"/>
    <pivotCache cacheId="156" r:id="rId9"/>
    <pivotCache cacheId="159" r:id="rId10"/>
    <pivotCache cacheId="162" r:id="rId11"/>
    <pivotCache cacheId="165" r:id="rId12"/>
    <pivotCache cacheId="171" r:id="rId13"/>
    <pivotCache cacheId="174" r:id="rId14"/>
    <pivotCache cacheId="177" r:id="rId15"/>
    <pivotCache cacheId="180" r:id="rId16"/>
    <pivotCache cacheId="183" r:id="rId17"/>
    <pivotCache cacheId="186" r:id="rId18"/>
    <pivotCache cacheId="189" r:id="rId19"/>
    <pivotCache cacheId="192" r:id="rId20"/>
    <pivotCache cacheId="195" r:id="rId21"/>
    <pivotCache cacheId="198" r:id="rId22"/>
    <pivotCache cacheId="216" r:id="rId23"/>
  </pivotCaches>
  <fileRecoveryPr repairLoad="1"/>
  <extLst>
    <ext xmlns:x15="http://schemas.microsoft.com/office/spreadsheetml/2010/11/main" uri="{FCE2AD5D-F65C-4FA6-A056-5C36A1767C68}">
      <x15:dataModel>
        <x15:modelTables>
          <x15:modelTable id="Table1" name="Table1" connection="WorksheetConnection_HR_Analytics_Capstone_Raw_Data2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E4" i="5"/>
  <c r="C4" i="5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P11" i="1"/>
  <c r="P10" i="1"/>
  <c r="P9" i="1"/>
  <c r="P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  <c r="D2" i="1"/>
  <c r="J3" i="1" a="1"/>
  <c r="J3" i="1"/>
  <c r="K3" i="1" s="1"/>
  <c r="L3" i="1" s="1"/>
  <c r="J4" i="1" a="1"/>
  <c r="J4" i="1"/>
  <c r="K4" i="1" s="1"/>
  <c r="L4" i="1" s="1"/>
  <c r="J5" i="1" a="1"/>
  <c r="J5" i="1"/>
  <c r="K5" i="1" s="1"/>
  <c r="L5" i="1" s="1"/>
  <c r="J6" i="1" a="1"/>
  <c r="J6" i="1"/>
  <c r="K6" i="1" s="1"/>
  <c r="L6" i="1" s="1"/>
  <c r="J7" i="1" a="1"/>
  <c r="J7" i="1"/>
  <c r="K7" i="1" s="1"/>
  <c r="L7" i="1" s="1"/>
  <c r="J8" i="1" a="1"/>
  <c r="J8" i="1"/>
  <c r="K8" i="1" s="1"/>
  <c r="L8" i="1" s="1"/>
  <c r="J9" i="1" a="1"/>
  <c r="J9" i="1"/>
  <c r="K9" i="1" s="1"/>
  <c r="L9" i="1" s="1"/>
  <c r="J10" i="1" a="1"/>
  <c r="J10" i="1"/>
  <c r="K10" i="1" s="1"/>
  <c r="L10" i="1" s="1"/>
  <c r="J11" i="1" a="1"/>
  <c r="J11" i="1"/>
  <c r="K11" i="1" s="1"/>
  <c r="L11" i="1" s="1"/>
  <c r="J12" i="1" a="1"/>
  <c r="J12" i="1"/>
  <c r="K12" i="1" s="1"/>
  <c r="L12" i="1" s="1"/>
  <c r="J13" i="1" a="1"/>
  <c r="J13" i="1"/>
  <c r="K13" i="1" s="1"/>
  <c r="L13" i="1" s="1"/>
  <c r="J14" i="1" a="1"/>
  <c r="J14" i="1"/>
  <c r="K14" i="1" s="1"/>
  <c r="L14" i="1" s="1"/>
  <c r="J15" i="1" a="1"/>
  <c r="J15" i="1"/>
  <c r="K15" i="1" s="1"/>
  <c r="L15" i="1" s="1"/>
  <c r="J16" i="1" a="1"/>
  <c r="J16" i="1"/>
  <c r="K16" i="1" s="1"/>
  <c r="L16" i="1" s="1"/>
  <c r="J17" i="1" a="1"/>
  <c r="J17" i="1"/>
  <c r="K17" i="1" s="1"/>
  <c r="L17" i="1" s="1"/>
  <c r="J18" i="1" a="1"/>
  <c r="J18" i="1"/>
  <c r="K18" i="1" s="1"/>
  <c r="L18" i="1" s="1"/>
  <c r="J19" i="1" a="1"/>
  <c r="J19" i="1"/>
  <c r="K19" i="1" s="1"/>
  <c r="L19" i="1" s="1"/>
  <c r="J20" i="1" a="1"/>
  <c r="J20" i="1"/>
  <c r="K20" i="1" s="1"/>
  <c r="L20" i="1" s="1"/>
  <c r="J21" i="1" a="1"/>
  <c r="J21" i="1"/>
  <c r="K21" i="1" s="1"/>
  <c r="L21" i="1" s="1"/>
  <c r="J22" i="1" a="1"/>
  <c r="J22" i="1"/>
  <c r="K22" i="1" s="1"/>
  <c r="L22" i="1" s="1"/>
  <c r="J23" i="1" a="1"/>
  <c r="J23" i="1"/>
  <c r="K23" i="1" s="1"/>
  <c r="L23" i="1" s="1"/>
  <c r="J24" i="1" a="1"/>
  <c r="J24" i="1"/>
  <c r="K24" i="1" s="1"/>
  <c r="L24" i="1" s="1"/>
  <c r="J25" i="1" a="1"/>
  <c r="J25" i="1"/>
  <c r="K25" i="1" s="1"/>
  <c r="L25" i="1" s="1"/>
  <c r="J26" i="1" a="1"/>
  <c r="J26" i="1"/>
  <c r="K26" i="1" s="1"/>
  <c r="L26" i="1" s="1"/>
  <c r="J27" i="1" a="1"/>
  <c r="J27" i="1"/>
  <c r="K27" i="1" s="1"/>
  <c r="L27" i="1" s="1"/>
  <c r="J28" i="1" a="1"/>
  <c r="J28" i="1"/>
  <c r="K28" i="1" s="1"/>
  <c r="L28" i="1" s="1"/>
  <c r="J29" i="1" a="1"/>
  <c r="J29" i="1"/>
  <c r="K29" i="1" s="1"/>
  <c r="L29" i="1" s="1"/>
  <c r="J30" i="1" a="1"/>
  <c r="J30" i="1"/>
  <c r="K30" i="1" s="1"/>
  <c r="L30" i="1" s="1"/>
  <c r="J31" i="1" a="1"/>
  <c r="J31" i="1"/>
  <c r="K31" i="1" s="1"/>
  <c r="L31" i="1" s="1"/>
  <c r="J32" i="1" a="1"/>
  <c r="J32" i="1"/>
  <c r="K32" i="1" s="1"/>
  <c r="L32" i="1" s="1"/>
  <c r="J33" i="1" a="1"/>
  <c r="J33" i="1"/>
  <c r="K33" i="1" s="1"/>
  <c r="L33" i="1" s="1"/>
  <c r="J34" i="1" a="1"/>
  <c r="J34" i="1"/>
  <c r="K34" i="1" s="1"/>
  <c r="L34" i="1" s="1"/>
  <c r="J35" i="1" a="1"/>
  <c r="J35" i="1"/>
  <c r="K35" i="1" s="1"/>
  <c r="L35" i="1" s="1"/>
  <c r="J36" i="1" a="1"/>
  <c r="J36" i="1"/>
  <c r="K36" i="1" s="1"/>
  <c r="L36" i="1" s="1"/>
  <c r="J37" i="1" a="1"/>
  <c r="J37" i="1"/>
  <c r="K37" i="1" s="1"/>
  <c r="L37" i="1" s="1"/>
  <c r="J38" i="1" a="1"/>
  <c r="J38" i="1"/>
  <c r="K38" i="1" s="1"/>
  <c r="L38" i="1" s="1"/>
  <c r="J39" i="1" a="1"/>
  <c r="J39" i="1"/>
  <c r="K39" i="1" s="1"/>
  <c r="L39" i="1" s="1"/>
  <c r="J40" i="1" a="1"/>
  <c r="J40" i="1"/>
  <c r="K40" i="1" s="1"/>
  <c r="L40" i="1" s="1"/>
  <c r="J41" i="1" a="1"/>
  <c r="J41" i="1"/>
  <c r="K41" i="1" s="1"/>
  <c r="L41" i="1" s="1"/>
  <c r="J42" i="1" a="1"/>
  <c r="J42" i="1"/>
  <c r="K42" i="1" s="1"/>
  <c r="L42" i="1" s="1"/>
  <c r="J43" i="1" a="1"/>
  <c r="J43" i="1"/>
  <c r="K43" i="1" s="1"/>
  <c r="L43" i="1" s="1"/>
  <c r="J44" i="1" a="1"/>
  <c r="J44" i="1"/>
  <c r="K44" i="1" s="1"/>
  <c r="L44" i="1" s="1"/>
  <c r="J45" i="1" a="1"/>
  <c r="J45" i="1"/>
  <c r="K45" i="1" s="1"/>
  <c r="L45" i="1" s="1"/>
  <c r="J46" i="1" a="1"/>
  <c r="J46" i="1"/>
  <c r="K46" i="1" s="1"/>
  <c r="L46" i="1" s="1"/>
  <c r="J47" i="1" a="1"/>
  <c r="J47" i="1"/>
  <c r="K47" i="1" s="1"/>
  <c r="L47" i="1" s="1"/>
  <c r="J48" i="1" a="1"/>
  <c r="J48" i="1"/>
  <c r="K48" i="1" s="1"/>
  <c r="L48" i="1" s="1"/>
  <c r="J49" i="1" a="1"/>
  <c r="J49" i="1"/>
  <c r="K49" i="1" s="1"/>
  <c r="L49" i="1" s="1"/>
  <c r="J50" i="1" a="1"/>
  <c r="J50" i="1"/>
  <c r="K50" i="1" s="1"/>
  <c r="L50" i="1" s="1"/>
  <c r="J51" i="1" a="1"/>
  <c r="J51" i="1"/>
  <c r="K51" i="1" s="1"/>
  <c r="L51" i="1" s="1"/>
  <c r="J52" i="1" a="1"/>
  <c r="J52" i="1"/>
  <c r="K52" i="1" s="1"/>
  <c r="L52" i="1" s="1"/>
  <c r="J53" i="1" a="1"/>
  <c r="J53" i="1"/>
  <c r="K53" i="1" s="1"/>
  <c r="L53" i="1" s="1"/>
  <c r="J54" i="1" a="1"/>
  <c r="J54" i="1"/>
  <c r="K54" i="1" s="1"/>
  <c r="L54" i="1" s="1"/>
  <c r="J55" i="1" a="1"/>
  <c r="J55" i="1"/>
  <c r="K55" i="1" s="1"/>
  <c r="L55" i="1" s="1"/>
  <c r="J56" i="1" a="1"/>
  <c r="J56" i="1"/>
  <c r="K56" i="1" s="1"/>
  <c r="L56" i="1" s="1"/>
  <c r="J57" i="1" a="1"/>
  <c r="J57" i="1"/>
  <c r="K57" i="1" s="1"/>
  <c r="L57" i="1" s="1"/>
  <c r="J58" i="1" a="1"/>
  <c r="J58" i="1"/>
  <c r="K58" i="1" s="1"/>
  <c r="L58" i="1" s="1"/>
  <c r="J59" i="1" a="1"/>
  <c r="J59" i="1"/>
  <c r="K59" i="1" s="1"/>
  <c r="L59" i="1" s="1"/>
  <c r="J60" i="1" a="1"/>
  <c r="J60" i="1"/>
  <c r="K60" i="1" s="1"/>
  <c r="L60" i="1" s="1"/>
  <c r="J61" i="1" a="1"/>
  <c r="J61" i="1"/>
  <c r="K61" i="1" s="1"/>
  <c r="L61" i="1" s="1"/>
  <c r="J62" i="1" a="1"/>
  <c r="J62" i="1"/>
  <c r="K62" i="1" s="1"/>
  <c r="L62" i="1" s="1"/>
  <c r="J63" i="1" a="1"/>
  <c r="J63" i="1"/>
  <c r="K63" i="1" s="1"/>
  <c r="L63" i="1" s="1"/>
  <c r="J64" i="1" a="1"/>
  <c r="J64" i="1"/>
  <c r="K64" i="1" s="1"/>
  <c r="L64" i="1" s="1"/>
  <c r="J65" i="1" a="1"/>
  <c r="J65" i="1"/>
  <c r="K65" i="1" s="1"/>
  <c r="L65" i="1" s="1"/>
  <c r="J66" i="1" a="1"/>
  <c r="J66" i="1"/>
  <c r="K66" i="1" s="1"/>
  <c r="L66" i="1" s="1"/>
  <c r="J67" i="1" a="1"/>
  <c r="J67" i="1"/>
  <c r="K67" i="1" s="1"/>
  <c r="L67" i="1" s="1"/>
  <c r="J68" i="1" a="1"/>
  <c r="J68" i="1"/>
  <c r="K68" i="1" s="1"/>
  <c r="L68" i="1" s="1"/>
  <c r="J69" i="1" a="1"/>
  <c r="J69" i="1"/>
  <c r="K69" i="1" s="1"/>
  <c r="L69" i="1" s="1"/>
  <c r="J70" i="1" a="1"/>
  <c r="J70" i="1"/>
  <c r="K70" i="1" s="1"/>
  <c r="L70" i="1" s="1"/>
  <c r="J71" i="1" a="1"/>
  <c r="J71" i="1"/>
  <c r="K71" i="1" s="1"/>
  <c r="L71" i="1" s="1"/>
  <c r="J72" i="1" a="1"/>
  <c r="J72" i="1"/>
  <c r="K72" i="1" s="1"/>
  <c r="L72" i="1" s="1"/>
  <c r="J73" i="1" a="1"/>
  <c r="J73" i="1"/>
  <c r="K73" i="1" s="1"/>
  <c r="L73" i="1" s="1"/>
  <c r="J74" i="1" a="1"/>
  <c r="J74" i="1"/>
  <c r="K74" i="1" s="1"/>
  <c r="L74" i="1" s="1"/>
  <c r="J75" i="1" a="1"/>
  <c r="J75" i="1"/>
  <c r="K75" i="1" s="1"/>
  <c r="L75" i="1" s="1"/>
  <c r="J76" i="1" a="1"/>
  <c r="J76" i="1"/>
  <c r="K76" i="1" s="1"/>
  <c r="L76" i="1" s="1"/>
  <c r="J77" i="1" a="1"/>
  <c r="J77" i="1"/>
  <c r="K77" i="1" s="1"/>
  <c r="L77" i="1" s="1"/>
  <c r="J78" i="1" a="1"/>
  <c r="J78" i="1"/>
  <c r="K78" i="1" s="1"/>
  <c r="L78" i="1" s="1"/>
  <c r="J79" i="1" a="1"/>
  <c r="J79" i="1"/>
  <c r="K79" i="1" s="1"/>
  <c r="L79" i="1" s="1"/>
  <c r="J80" i="1" a="1"/>
  <c r="J80" i="1"/>
  <c r="K80" i="1" s="1"/>
  <c r="L80" i="1" s="1"/>
  <c r="J81" i="1" a="1"/>
  <c r="J81" i="1"/>
  <c r="K81" i="1" s="1"/>
  <c r="L81" i="1" s="1"/>
  <c r="J82" i="1" a="1"/>
  <c r="J82" i="1"/>
  <c r="K82" i="1" s="1"/>
  <c r="L82" i="1" s="1"/>
  <c r="J83" i="1" a="1"/>
  <c r="J83" i="1"/>
  <c r="K83" i="1" s="1"/>
  <c r="L83" i="1" s="1"/>
  <c r="J84" i="1" a="1"/>
  <c r="J84" i="1"/>
  <c r="K84" i="1" s="1"/>
  <c r="L84" i="1" s="1"/>
  <c r="J85" i="1" a="1"/>
  <c r="J85" i="1"/>
  <c r="K85" i="1" s="1"/>
  <c r="L85" i="1" s="1"/>
  <c r="J86" i="1" a="1"/>
  <c r="J86" i="1"/>
  <c r="K86" i="1" s="1"/>
  <c r="L86" i="1" s="1"/>
  <c r="J87" i="1" a="1"/>
  <c r="J87" i="1"/>
  <c r="K87" i="1" s="1"/>
  <c r="L87" i="1" s="1"/>
  <c r="J88" i="1" a="1"/>
  <c r="J88" i="1"/>
  <c r="K88" i="1" s="1"/>
  <c r="L88" i="1" s="1"/>
  <c r="J89" i="1" a="1"/>
  <c r="J89" i="1"/>
  <c r="K89" i="1" s="1"/>
  <c r="L89" i="1" s="1"/>
  <c r="J90" i="1" a="1"/>
  <c r="J90" i="1"/>
  <c r="K90" i="1" s="1"/>
  <c r="L90" i="1" s="1"/>
  <c r="J91" i="1" a="1"/>
  <c r="J91" i="1"/>
  <c r="K91" i="1" s="1"/>
  <c r="L91" i="1" s="1"/>
  <c r="J92" i="1" a="1"/>
  <c r="J92" i="1"/>
  <c r="K92" i="1" s="1"/>
  <c r="L92" i="1" s="1"/>
  <c r="J93" i="1" a="1"/>
  <c r="J93" i="1"/>
  <c r="K93" i="1" s="1"/>
  <c r="L93" i="1" s="1"/>
  <c r="J94" i="1" a="1"/>
  <c r="J94" i="1"/>
  <c r="K94" i="1" s="1"/>
  <c r="L94" i="1" s="1"/>
  <c r="J95" i="1" a="1"/>
  <c r="J95" i="1"/>
  <c r="K95" i="1" s="1"/>
  <c r="L95" i="1" s="1"/>
  <c r="J96" i="1" a="1"/>
  <c r="J96" i="1"/>
  <c r="K96" i="1" s="1"/>
  <c r="L96" i="1" s="1"/>
  <c r="J97" i="1" a="1"/>
  <c r="J97" i="1"/>
  <c r="K97" i="1" s="1"/>
  <c r="L97" i="1" s="1"/>
  <c r="J98" i="1" a="1"/>
  <c r="J98" i="1"/>
  <c r="K98" i="1" s="1"/>
  <c r="L98" i="1" s="1"/>
  <c r="J99" i="1" a="1"/>
  <c r="J99" i="1"/>
  <c r="K99" i="1" s="1"/>
  <c r="L99" i="1" s="1"/>
  <c r="J100" i="1" a="1"/>
  <c r="J100" i="1"/>
  <c r="K100" i="1" s="1"/>
  <c r="L100" i="1" s="1"/>
  <c r="J101" i="1" a="1"/>
  <c r="J101" i="1"/>
  <c r="K101" i="1" s="1"/>
  <c r="L101" i="1" s="1"/>
  <c r="J102" i="1" a="1"/>
  <c r="J102" i="1"/>
  <c r="K102" i="1" s="1"/>
  <c r="L102" i="1" s="1"/>
  <c r="J103" i="1" a="1"/>
  <c r="J103" i="1"/>
  <c r="K103" i="1" s="1"/>
  <c r="L103" i="1" s="1"/>
  <c r="J104" i="1" a="1"/>
  <c r="J104" i="1"/>
  <c r="K104" i="1" s="1"/>
  <c r="L104" i="1" s="1"/>
  <c r="J105" i="1" a="1"/>
  <c r="J105" i="1"/>
  <c r="K105" i="1" s="1"/>
  <c r="L105" i="1" s="1"/>
  <c r="J106" i="1" a="1"/>
  <c r="J106" i="1"/>
  <c r="K106" i="1" s="1"/>
  <c r="L106" i="1" s="1"/>
  <c r="J107" i="1" a="1"/>
  <c r="J107" i="1"/>
  <c r="K107" i="1" s="1"/>
  <c r="L107" i="1" s="1"/>
  <c r="J108" i="1" a="1"/>
  <c r="J108" i="1"/>
  <c r="K108" i="1" s="1"/>
  <c r="L108" i="1" s="1"/>
  <c r="J109" i="1" a="1"/>
  <c r="J109" i="1"/>
  <c r="K109" i="1" s="1"/>
  <c r="L109" i="1" s="1"/>
  <c r="J110" i="1" a="1"/>
  <c r="J110" i="1"/>
  <c r="K110" i="1" s="1"/>
  <c r="L110" i="1" s="1"/>
  <c r="J111" i="1" a="1"/>
  <c r="J111" i="1"/>
  <c r="K111" i="1" s="1"/>
  <c r="L111" i="1" s="1"/>
  <c r="J112" i="1" a="1"/>
  <c r="J112" i="1"/>
  <c r="K112" i="1" s="1"/>
  <c r="L112" i="1" s="1"/>
  <c r="J113" i="1" a="1"/>
  <c r="J113" i="1"/>
  <c r="K113" i="1" s="1"/>
  <c r="L113" i="1" s="1"/>
  <c r="J114" i="1" a="1"/>
  <c r="J114" i="1"/>
  <c r="K114" i="1" s="1"/>
  <c r="L114" i="1" s="1"/>
  <c r="J115" i="1" a="1"/>
  <c r="J115" i="1"/>
  <c r="K115" i="1" s="1"/>
  <c r="L115" i="1" s="1"/>
  <c r="J116" i="1" a="1"/>
  <c r="J116" i="1"/>
  <c r="K116" i="1" s="1"/>
  <c r="L116" i="1" s="1"/>
  <c r="J117" i="1" a="1"/>
  <c r="J117" i="1"/>
  <c r="K117" i="1" s="1"/>
  <c r="L117" i="1" s="1"/>
  <c r="J118" i="1" a="1"/>
  <c r="J118" i="1"/>
  <c r="K118" i="1" s="1"/>
  <c r="L118" i="1" s="1"/>
  <c r="J119" i="1" a="1"/>
  <c r="J119" i="1"/>
  <c r="K119" i="1" s="1"/>
  <c r="L119" i="1" s="1"/>
  <c r="J120" i="1" a="1"/>
  <c r="J120" i="1"/>
  <c r="K120" i="1" s="1"/>
  <c r="L120" i="1" s="1"/>
  <c r="J121" i="1" a="1"/>
  <c r="J121" i="1"/>
  <c r="K121" i="1" s="1"/>
  <c r="L121" i="1" s="1"/>
  <c r="J122" i="1" a="1"/>
  <c r="J122" i="1"/>
  <c r="K122" i="1" s="1"/>
  <c r="L122" i="1" s="1"/>
  <c r="J123" i="1" a="1"/>
  <c r="J123" i="1"/>
  <c r="K123" i="1" s="1"/>
  <c r="L123" i="1" s="1"/>
  <c r="J124" i="1" a="1"/>
  <c r="J124" i="1"/>
  <c r="K124" i="1" s="1"/>
  <c r="L124" i="1" s="1"/>
  <c r="J125" i="1" a="1"/>
  <c r="J125" i="1"/>
  <c r="K125" i="1" s="1"/>
  <c r="L125" i="1" s="1"/>
  <c r="J126" i="1" a="1"/>
  <c r="J126" i="1"/>
  <c r="K126" i="1" s="1"/>
  <c r="L126" i="1" s="1"/>
  <c r="J127" i="1" a="1"/>
  <c r="J127" i="1"/>
  <c r="K127" i="1" s="1"/>
  <c r="L127" i="1" s="1"/>
  <c r="J128" i="1" a="1"/>
  <c r="J128" i="1"/>
  <c r="K128" i="1" s="1"/>
  <c r="L128" i="1" s="1"/>
  <c r="J129" i="1" a="1"/>
  <c r="J129" i="1"/>
  <c r="K129" i="1" s="1"/>
  <c r="L129" i="1" s="1"/>
  <c r="J130" i="1" a="1"/>
  <c r="J130" i="1"/>
  <c r="K130" i="1" s="1"/>
  <c r="L130" i="1" s="1"/>
  <c r="J131" i="1" a="1"/>
  <c r="J131" i="1"/>
  <c r="K131" i="1" s="1"/>
  <c r="L131" i="1" s="1"/>
  <c r="J132" i="1" a="1"/>
  <c r="J132" i="1"/>
  <c r="K132" i="1" s="1"/>
  <c r="L132" i="1" s="1"/>
  <c r="J133" i="1" a="1"/>
  <c r="J133" i="1"/>
  <c r="K133" i="1" s="1"/>
  <c r="L133" i="1" s="1"/>
  <c r="J134" i="1" a="1"/>
  <c r="J134" i="1"/>
  <c r="K134" i="1" s="1"/>
  <c r="L134" i="1" s="1"/>
  <c r="J135" i="1" a="1"/>
  <c r="J135" i="1"/>
  <c r="K135" i="1" s="1"/>
  <c r="L135" i="1" s="1"/>
  <c r="J136" i="1" a="1"/>
  <c r="J136" i="1"/>
  <c r="K136" i="1" s="1"/>
  <c r="L136" i="1" s="1"/>
  <c r="J137" i="1" a="1"/>
  <c r="J137" i="1"/>
  <c r="K137" i="1" s="1"/>
  <c r="L137" i="1" s="1"/>
  <c r="J138" i="1" a="1"/>
  <c r="J138" i="1"/>
  <c r="K138" i="1" s="1"/>
  <c r="L138" i="1" s="1"/>
  <c r="J139" i="1" a="1"/>
  <c r="J139" i="1"/>
  <c r="K139" i="1" s="1"/>
  <c r="L139" i="1" s="1"/>
  <c r="J140" i="1" a="1"/>
  <c r="J140" i="1"/>
  <c r="K140" i="1" s="1"/>
  <c r="L140" i="1" s="1"/>
  <c r="J141" i="1" a="1"/>
  <c r="J141" i="1"/>
  <c r="K141" i="1" s="1"/>
  <c r="L141" i="1" s="1"/>
  <c r="J142" i="1" a="1"/>
  <c r="J142" i="1"/>
  <c r="K142" i="1" s="1"/>
  <c r="L142" i="1" s="1"/>
  <c r="J143" i="1" a="1"/>
  <c r="J143" i="1"/>
  <c r="K143" i="1" s="1"/>
  <c r="L143" i="1" s="1"/>
  <c r="J144" i="1" a="1"/>
  <c r="J144" i="1"/>
  <c r="K144" i="1" s="1"/>
  <c r="L144" i="1" s="1"/>
  <c r="J145" i="1" a="1"/>
  <c r="J145" i="1"/>
  <c r="K145" i="1" s="1"/>
  <c r="L145" i="1" s="1"/>
  <c r="J146" i="1" a="1"/>
  <c r="J146" i="1"/>
  <c r="K146" i="1" s="1"/>
  <c r="L146" i="1" s="1"/>
  <c r="J147" i="1" a="1"/>
  <c r="J147" i="1"/>
  <c r="K147" i="1" s="1"/>
  <c r="L147" i="1" s="1"/>
  <c r="J148" i="1" a="1"/>
  <c r="J148" i="1"/>
  <c r="K148" i="1" s="1"/>
  <c r="L148" i="1" s="1"/>
  <c r="J149" i="1" a="1"/>
  <c r="J149" i="1"/>
  <c r="K149" i="1" s="1"/>
  <c r="L149" i="1" s="1"/>
  <c r="J150" i="1" a="1"/>
  <c r="J150" i="1"/>
  <c r="K150" i="1" s="1"/>
  <c r="L150" i="1" s="1"/>
  <c r="J151" i="1" a="1"/>
  <c r="J151" i="1"/>
  <c r="K151" i="1" s="1"/>
  <c r="L151" i="1" s="1"/>
  <c r="J2" i="1" a="1"/>
  <c r="J2" i="1"/>
  <c r="K2" i="1" s="1"/>
  <c r="L2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226E6B0-1525-49CC-8F14-2ABC2F8068B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F07E0C23-1B9B-42AF-85AE-8E4D8B3C8922}" name="WorksheetConnection_HR_Analytics_Capstone_Raw_Data2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HR_Analytics_Capstone_Raw_Data2.xlsxTable1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<sst xmlns="http://schemas.openxmlformats.org/spreadsheetml/2006/main" count="777" uniqueCount="347">
  <si>
    <t>Emp ID</t>
  </si>
  <si>
    <t>Employment Status</t>
  </si>
  <si>
    <t>EMP127</t>
  </si>
  <si>
    <t>IT02</t>
  </si>
  <si>
    <t>EMP046</t>
  </si>
  <si>
    <t>MKT04</t>
  </si>
  <si>
    <t>EMP134</t>
  </si>
  <si>
    <t>EMP139</t>
  </si>
  <si>
    <t>FIN03</t>
  </si>
  <si>
    <t>EMP112</t>
  </si>
  <si>
    <t>Left</t>
  </si>
  <si>
    <t>EMP030</t>
  </si>
  <si>
    <t>OPS06</t>
  </si>
  <si>
    <t>EMP096</t>
  </si>
  <si>
    <t>EMP098</t>
  </si>
  <si>
    <t>EMP095</t>
  </si>
  <si>
    <t>EMP140</t>
  </si>
  <si>
    <t>SAL05</t>
  </si>
  <si>
    <t>Active</t>
  </si>
  <si>
    <t>EMP020</t>
  </si>
  <si>
    <t>EMP057</t>
  </si>
  <si>
    <t>EMP016</t>
  </si>
  <si>
    <t>EMP070</t>
  </si>
  <si>
    <t>EMP025</t>
  </si>
  <si>
    <t>EMP031</t>
  </si>
  <si>
    <t>EMP126</t>
  </si>
  <si>
    <t>EMP109</t>
  </si>
  <si>
    <t>EMP066</t>
  </si>
  <si>
    <t>EMP120</t>
  </si>
  <si>
    <t>EMP019</t>
  </si>
  <si>
    <t>EMP013</t>
  </si>
  <si>
    <t>EMP010</t>
  </si>
  <si>
    <t>EMP032</t>
  </si>
  <si>
    <t>EMP082</t>
  </si>
  <si>
    <t>EMP052</t>
  </si>
  <si>
    <t>EMP129</t>
  </si>
  <si>
    <t>EMP146</t>
  </si>
  <si>
    <t>EMP099</t>
  </si>
  <si>
    <t>EMP015</t>
  </si>
  <si>
    <t>EMP076</t>
  </si>
  <si>
    <t>EMP137</t>
  </si>
  <si>
    <t>EMP056</t>
  </si>
  <si>
    <t>EMP125</t>
  </si>
  <si>
    <t>HR01</t>
  </si>
  <si>
    <t>EMP085</t>
  </si>
  <si>
    <t>EMP106</t>
  </si>
  <si>
    <t>EMP043</t>
  </si>
  <si>
    <t>EMP068</t>
  </si>
  <si>
    <t>06/29/2022</t>
  </si>
  <si>
    <t>EMP128</t>
  </si>
  <si>
    <t>EMP027</t>
  </si>
  <si>
    <t>09/09/2017</t>
  </si>
  <si>
    <t>EMP136</t>
  </si>
  <si>
    <t>EMP079</t>
  </si>
  <si>
    <t>EMP149</t>
  </si>
  <si>
    <t>Resigned</t>
  </si>
  <si>
    <t>EMP037</t>
  </si>
  <si>
    <t>EMP077</t>
  </si>
  <si>
    <t>07/14/2016</t>
  </si>
  <si>
    <t>EMP023</t>
  </si>
  <si>
    <t>EMP133</t>
  </si>
  <si>
    <t>EMP141</t>
  </si>
  <si>
    <t>EMP012</t>
  </si>
  <si>
    <t>EMP080</t>
  </si>
  <si>
    <t>EMP069</t>
  </si>
  <si>
    <t>EMP150</t>
  </si>
  <si>
    <t>EMP028</t>
  </si>
  <si>
    <t>10/07/2019</t>
  </si>
  <si>
    <t>EMP087</t>
  </si>
  <si>
    <t>EMP119</t>
  </si>
  <si>
    <t>EMP042</t>
  </si>
  <si>
    <t>EMP005</t>
  </si>
  <si>
    <t>EMP033</t>
  </si>
  <si>
    <t>02/07/2018</t>
  </si>
  <si>
    <t>EMP061</t>
  </si>
  <si>
    <t>EMP102</t>
  </si>
  <si>
    <t>EMP067</t>
  </si>
  <si>
    <t>EMP017</t>
  </si>
  <si>
    <t>EMP123</t>
  </si>
  <si>
    <t>EMP011</t>
  </si>
  <si>
    <t>EMP091</t>
  </si>
  <si>
    <t>EMP145</t>
  </si>
  <si>
    <t>11/11/2016</t>
  </si>
  <si>
    <t>EMP001</t>
  </si>
  <si>
    <t>EMP113</t>
  </si>
  <si>
    <t>EMP065</t>
  </si>
  <si>
    <t>EMP045</t>
  </si>
  <si>
    <t>EMP083</t>
  </si>
  <si>
    <t>EMP029</t>
  </si>
  <si>
    <t>EMP041</t>
  </si>
  <si>
    <t>EMP026</t>
  </si>
  <si>
    <t>EMP024</t>
  </si>
  <si>
    <t>EMP111</t>
  </si>
  <si>
    <t>EMP040</t>
  </si>
  <si>
    <t>02/19/2017</t>
  </si>
  <si>
    <t>EMP086</t>
  </si>
  <si>
    <t>09/07/2021</t>
  </si>
  <si>
    <t>EMP124</t>
  </si>
  <si>
    <t>EMP132</t>
  </si>
  <si>
    <t>EMP048</t>
  </si>
  <si>
    <t>09/29/2018</t>
  </si>
  <si>
    <t>EMP114</t>
  </si>
  <si>
    <t>EMP062</t>
  </si>
  <si>
    <t>EMP074</t>
  </si>
  <si>
    <t>EMP034</t>
  </si>
  <si>
    <t>EMP105</t>
  </si>
  <si>
    <t>EMP118</t>
  </si>
  <si>
    <t>EMP063</t>
  </si>
  <si>
    <t>EMP094</t>
  </si>
  <si>
    <t>EMP097</t>
  </si>
  <si>
    <t>EMP054</t>
  </si>
  <si>
    <t>EMP006</t>
  </si>
  <si>
    <t>EMP110</t>
  </si>
  <si>
    <t>EMP147</t>
  </si>
  <si>
    <t>EMP050</t>
  </si>
  <si>
    <t>EMP036</t>
  </si>
  <si>
    <t>EMP081</t>
  </si>
  <si>
    <t>EMP078</t>
  </si>
  <si>
    <t>EMP035</t>
  </si>
  <si>
    <t>03/08/2019</t>
  </si>
  <si>
    <t>EMP047</t>
  </si>
  <si>
    <t>EMP008</t>
  </si>
  <si>
    <t>EMP044</t>
  </si>
  <si>
    <t>EMP071</t>
  </si>
  <si>
    <t>EMP115</t>
  </si>
  <si>
    <t>EMP092</t>
  </si>
  <si>
    <t>05/22/2016</t>
  </si>
  <si>
    <t>EMP084</t>
  </si>
  <si>
    <t>EMP142</t>
  </si>
  <si>
    <t>EMP143</t>
  </si>
  <si>
    <t>EMP090</t>
  </si>
  <si>
    <t>EMP009</t>
  </si>
  <si>
    <t>EMP014</t>
  </si>
  <si>
    <t>EMP060</t>
  </si>
  <si>
    <t>EMP135</t>
  </si>
  <si>
    <t>EMP004</t>
  </si>
  <si>
    <t>07/10/2016</t>
  </si>
  <si>
    <t>EMP018</t>
  </si>
  <si>
    <t>EMP039</t>
  </si>
  <si>
    <t>05/10/2017</t>
  </si>
  <si>
    <t>EMP073</t>
  </si>
  <si>
    <t>EMP138</t>
  </si>
  <si>
    <t>04/20/2023</t>
  </si>
  <si>
    <t>EMP007</t>
  </si>
  <si>
    <t>EMP144</t>
  </si>
  <si>
    <t>EMP101</t>
  </si>
  <si>
    <t>EMP003</t>
  </si>
  <si>
    <t>EMP121</t>
  </si>
  <si>
    <t>EMP064</t>
  </si>
  <si>
    <t>EMP116</t>
  </si>
  <si>
    <t>EMP055</t>
  </si>
  <si>
    <t>EMP108</t>
  </si>
  <si>
    <t>EMP051</t>
  </si>
  <si>
    <t>EMP059</t>
  </si>
  <si>
    <t>EMP049</t>
  </si>
  <si>
    <t>EMP089</t>
  </si>
  <si>
    <t>05/11/2023</t>
  </si>
  <si>
    <t>EMP022</t>
  </si>
  <si>
    <t>EMP058</t>
  </si>
  <si>
    <t>EMP130</t>
  </si>
  <si>
    <t>08/29/2021</t>
  </si>
  <si>
    <t>EMP038</t>
  </si>
  <si>
    <t>EMP148</t>
  </si>
  <si>
    <t>EMP002</t>
  </si>
  <si>
    <t>EMP053</t>
  </si>
  <si>
    <t>10/22/2015</t>
  </si>
  <si>
    <t>EMP131</t>
  </si>
  <si>
    <t>EMP104</t>
  </si>
  <si>
    <t>EMP100</t>
  </si>
  <si>
    <t>EMP117</t>
  </si>
  <si>
    <t>EMP088</t>
  </si>
  <si>
    <t>EMP075</t>
  </si>
  <si>
    <t>EMP122</t>
  </si>
  <si>
    <t>01/12/2019</t>
  </si>
  <si>
    <t>EMP021</t>
  </si>
  <si>
    <t>EMP072</t>
  </si>
  <si>
    <t>EMP107</t>
  </si>
  <si>
    <t>EMP093</t>
  </si>
  <si>
    <t>EMP103</t>
  </si>
  <si>
    <t>Dept_Code</t>
  </si>
  <si>
    <t>Department_Name</t>
  </si>
  <si>
    <t>Human Resources</t>
  </si>
  <si>
    <t>Information Technology</t>
  </si>
  <si>
    <t>Finance</t>
  </si>
  <si>
    <t>Marketing</t>
  </si>
  <si>
    <t>Sales</t>
  </si>
  <si>
    <t>Operations</t>
  </si>
  <si>
    <t>Min_Score</t>
  </si>
  <si>
    <t>Max_Score</t>
  </si>
  <si>
    <t>Performance_Band</t>
  </si>
  <si>
    <t>Bonus_Percentage</t>
  </si>
  <si>
    <t>Needs Improvement</t>
  </si>
  <si>
    <t>Developing</t>
  </si>
  <si>
    <t>Achieving</t>
  </si>
  <si>
    <t>Exceeding</t>
  </si>
  <si>
    <t>Outstanding</t>
  </si>
  <si>
    <t>Full_Name</t>
  </si>
  <si>
    <t>Emily Brown</t>
  </si>
  <si>
    <t>Richard Hernandez</t>
  </si>
  <si>
    <t>Emily Gonzalez</t>
  </si>
  <si>
    <t>John Martinez</t>
  </si>
  <si>
    <t>Thomas Smith</t>
  </si>
  <si>
    <t>Emily Johnson</t>
  </si>
  <si>
    <t>John Wilson</t>
  </si>
  <si>
    <t>Jessica Smith</t>
  </si>
  <si>
    <t xml:space="preserve"> Rodriguez</t>
  </si>
  <si>
    <t>Michael Martinez</t>
  </si>
  <si>
    <t>Emily Miller</t>
  </si>
  <si>
    <t>Emily Hernandez</t>
  </si>
  <si>
    <t>Jane Williams</t>
  </si>
  <si>
    <t>Jane Miller</t>
  </si>
  <si>
    <t>Robert Jones</t>
  </si>
  <si>
    <t>Thomas Rodriguez</t>
  </si>
  <si>
    <t>Emily Davis</t>
  </si>
  <si>
    <t>James Martinez</t>
  </si>
  <si>
    <t>Ashley Lopez</t>
  </si>
  <si>
    <t>Amanda Gonzalez</t>
  </si>
  <si>
    <t>Michael Hernandez</t>
  </si>
  <si>
    <t>Michael Rodriguez</t>
  </si>
  <si>
    <t>Jessica Johnson</t>
  </si>
  <si>
    <t>Ashley Williams</t>
  </si>
  <si>
    <t xml:space="preserve"> Williams</t>
  </si>
  <si>
    <t>Michael Wilson</t>
  </si>
  <si>
    <t>John Rodriguez</t>
  </si>
  <si>
    <t>Thomas Hernandez</t>
  </si>
  <si>
    <t>Michael Johnson</t>
  </si>
  <si>
    <t>Sarah Brown</t>
  </si>
  <si>
    <t>Jane Martinez</t>
  </si>
  <si>
    <t>Emily Jones</t>
  </si>
  <si>
    <t xml:space="preserve"> Brown</t>
  </si>
  <si>
    <t>Melissa Brown</t>
  </si>
  <si>
    <t>Michael Smith</t>
  </si>
  <si>
    <t>Sarah Miller</t>
  </si>
  <si>
    <t>Emily Wilson</t>
  </si>
  <si>
    <t>David Hernandez</t>
  </si>
  <si>
    <t>James Smith</t>
  </si>
  <si>
    <t>Sarah Williams</t>
  </si>
  <si>
    <t>Amanda Lopez</t>
  </si>
  <si>
    <t>Thomas Lopez</t>
  </si>
  <si>
    <t>Melissa Johnson</t>
  </si>
  <si>
    <t>Amanda Johnson</t>
  </si>
  <si>
    <t>John Davis</t>
  </si>
  <si>
    <t>James Johnson</t>
  </si>
  <si>
    <t>Jane Davis</t>
  </si>
  <si>
    <t>Richard Davis</t>
  </si>
  <si>
    <t>Emily Garcia</t>
  </si>
  <si>
    <t>Jane Anderson</t>
  </si>
  <si>
    <t>Thomas Garcia</t>
  </si>
  <si>
    <t>David Martinez</t>
  </si>
  <si>
    <t>Michael Anderson</t>
  </si>
  <si>
    <t>Robert Johnson</t>
  </si>
  <si>
    <t>Robert Miller</t>
  </si>
  <si>
    <t>Thomas Davis</t>
  </si>
  <si>
    <t>Thomas Jones</t>
  </si>
  <si>
    <t>Michael Miller</t>
  </si>
  <si>
    <t>Richard Gonzalez</t>
  </si>
  <si>
    <t>Melissa Williams</t>
  </si>
  <si>
    <t>William Garcia</t>
  </si>
  <si>
    <t>John Gonzalez</t>
  </si>
  <si>
    <t>James Gonzalez</t>
  </si>
  <si>
    <t>Jane Gonzalez</t>
  </si>
  <si>
    <t>David Wilson</t>
  </si>
  <si>
    <t>Jane Rodriguez</t>
  </si>
  <si>
    <t>Jessica Garcia</t>
  </si>
  <si>
    <t>Richard Smith</t>
  </si>
  <si>
    <t>Melissa Wilson</t>
  </si>
  <si>
    <t>Thomas Williams</t>
  </si>
  <si>
    <t>David Williams</t>
  </si>
  <si>
    <t>John Johnson</t>
  </si>
  <si>
    <t>Melissa Anderson</t>
  </si>
  <si>
    <t>William Gonzalez</t>
  </si>
  <si>
    <t>Jessica Anderson</t>
  </si>
  <si>
    <t>Thomas Miller</t>
  </si>
  <si>
    <t xml:space="preserve"> Smith</t>
  </si>
  <si>
    <t>Jane Johnson</t>
  </si>
  <si>
    <t>John Jones</t>
  </si>
  <si>
    <t>Jane Lopez</t>
  </si>
  <si>
    <t>Melissa Gonzalez</t>
  </si>
  <si>
    <t>William Davis</t>
  </si>
  <si>
    <t>John Smith</t>
  </si>
  <si>
    <t>William Williams</t>
  </si>
  <si>
    <t>James Jones</t>
  </si>
  <si>
    <t>Jessica Gonzalez</t>
  </si>
  <si>
    <t>Amanda Brown</t>
  </si>
  <si>
    <t>Robert Martinez</t>
  </si>
  <si>
    <t>David Rodriguez</t>
  </si>
  <si>
    <t>James Rodriguez</t>
  </si>
  <si>
    <t>Sarah Rodriguez</t>
  </si>
  <si>
    <t>Sarah Wilson</t>
  </si>
  <si>
    <t>Robert Williams</t>
  </si>
  <si>
    <t>Melissa Rodriguez</t>
  </si>
  <si>
    <t>William Jones</t>
  </si>
  <si>
    <t>David Anderson</t>
  </si>
  <si>
    <t>Sarah Smith</t>
  </si>
  <si>
    <t>Melissa Hernandez</t>
  </si>
  <si>
    <t>Jane Garcia</t>
  </si>
  <si>
    <t>David Davis</t>
  </si>
  <si>
    <t>James Wilson</t>
  </si>
  <si>
    <t>Richard Johnson</t>
  </si>
  <si>
    <t>Richard Williams</t>
  </si>
  <si>
    <t>John Hernandez</t>
  </si>
  <si>
    <t>Sarah Gonzalez</t>
  </si>
  <si>
    <t xml:space="preserve"> Jones</t>
  </si>
  <si>
    <t>William Rodriguez</t>
  </si>
  <si>
    <t>Melissa Miller</t>
  </si>
  <si>
    <t>Emily Martinez</t>
  </si>
  <si>
    <t>Department</t>
  </si>
  <si>
    <t>Years of Service</t>
  </si>
  <si>
    <t xml:space="preserve">Hire Date  </t>
  </si>
  <si>
    <t xml:space="preserve">Salary      </t>
  </si>
  <si>
    <t xml:space="preserve">Eligible Bonus Amount   </t>
  </si>
  <si>
    <t>Row Labels</t>
  </si>
  <si>
    <t>Grand Total</t>
  </si>
  <si>
    <t>Headcount &amp; Salary</t>
  </si>
  <si>
    <t>Average of Salary</t>
  </si>
  <si>
    <t>Attrition Rate</t>
  </si>
  <si>
    <t>Column Labels</t>
  </si>
  <si>
    <t>Count of Emp ID</t>
  </si>
  <si>
    <t xml:space="preserve">Performance by Status </t>
  </si>
  <si>
    <t>Column2</t>
  </si>
  <si>
    <t xml:space="preserve">Perf_Score         </t>
  </si>
  <si>
    <t>Departments</t>
  </si>
  <si>
    <t>Bonus Payout</t>
  </si>
  <si>
    <t>Sum of Salary</t>
  </si>
  <si>
    <t>Bonus Amount</t>
  </si>
  <si>
    <t>Avg. Performance Score</t>
  </si>
  <si>
    <t>Department with highest</t>
  </si>
  <si>
    <t>No. of Headcounts</t>
  </si>
  <si>
    <t>No. of Headcount</t>
  </si>
  <si>
    <t>Headcounts</t>
  </si>
  <si>
    <t>Highest Salary</t>
  </si>
  <si>
    <t>Performance</t>
  </si>
  <si>
    <t>Total Bonus Amount</t>
  </si>
  <si>
    <t>HIghest Bonus Amount</t>
  </si>
  <si>
    <t>Sum of Eligible Bonus Amount</t>
  </si>
  <si>
    <t>Employment Year</t>
  </si>
  <si>
    <t>1921</t>
  </si>
  <si>
    <t>1922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</si>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</sst>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/dd/yy;@"/>
    <numFmt numFmtId="165" formatCode="&quot;$&quot;#,##0;[Red]&quot;$&quot;#,##0"/>
    <numFmt numFmtId="166" formatCode="&quot;$&quot;#,##0.00;[Red]&quot;$&quot;#,##0.00"/>
    <numFmt numFmtId="167" formatCode="&quot;$&quot;#,##0.00"/>
    <numFmt numFmtId="168" formatCode="0.0"/>
    <numFmt numFmtId="169" formatCode="&quot;$&quot;#,##0"/>
    <numFmt numFmtId="173" formatCode="dd/mm/yy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 applyAlignment="1">
      <alignment horizontal="right"/>
    </xf>
    <xf numFmtId="0" fontId="2" fillId="0" borderId="0" xfId="0" applyFont="1"/>
    <xf numFmtId="0" fontId="0" fillId="0" borderId="0" xfId="0" applyFill="1"/>
    <xf numFmtId="166" fontId="0" fillId="0" borderId="0" xfId="0" applyNumberFormat="1"/>
    <xf numFmtId="0" fontId="0" fillId="0" borderId="0" xfId="0" applyFont="1" applyFill="1"/>
    <xf numFmtId="166" fontId="0" fillId="0" borderId="0" xfId="0" applyNumberFormat="1" applyFont="1" applyFill="1"/>
    <xf numFmtId="165" fontId="0" fillId="0" borderId="0" xfId="0" applyNumberFormat="1" applyFill="1" applyAlignment="1">
      <alignment horizontal="right"/>
    </xf>
    <xf numFmtId="0" fontId="1" fillId="0" borderId="2" xfId="0" applyFont="1" applyBorder="1" applyAlignment="1">
      <alignment horizontal="center" vertical="top"/>
    </xf>
    <xf numFmtId="164" fontId="1" fillId="0" borderId="2" xfId="0" applyNumberFormat="1" applyFont="1" applyBorder="1" applyAlignment="1">
      <alignment horizontal="right" vertical="top"/>
    </xf>
    <xf numFmtId="165" fontId="1" fillId="0" borderId="2" xfId="0" applyNumberFormat="1" applyFont="1" applyFill="1" applyBorder="1" applyAlignment="1">
      <alignment horizontal="right" vertical="top"/>
    </xf>
    <xf numFmtId="0" fontId="1" fillId="0" borderId="2" xfId="0" applyFont="1" applyFill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0" fontId="0" fillId="0" borderId="0" xfId="0" applyNumberFormat="1"/>
    <xf numFmtId="14" fontId="2" fillId="0" borderId="0" xfId="0" applyNumberFormat="1" applyFont="1" applyFill="1"/>
    <xf numFmtId="14" fontId="0" fillId="0" borderId="0" xfId="0" applyNumberFormat="1"/>
    <xf numFmtId="168" fontId="0" fillId="0" borderId="0" xfId="0" applyNumberFormat="1"/>
    <xf numFmtId="0" fontId="2" fillId="0" borderId="0" xfId="0" applyFont="1" applyAlignment="1">
      <alignment horizontal="center"/>
    </xf>
    <xf numFmtId="169" fontId="0" fillId="0" borderId="0" xfId="0" applyNumberFormat="1"/>
    <xf numFmtId="0" fontId="2" fillId="0" borderId="0" xfId="0" applyFont="1" applyAlignment="1">
      <alignment horizontal="center"/>
    </xf>
    <xf numFmtId="173" fontId="0" fillId="0" borderId="0" xfId="0" applyNumberFormat="1" applyAlignment="1">
      <alignment horizontal="right"/>
    </xf>
  </cellXfs>
  <cellStyles count="1">
    <cellStyle name="Normal" xfId="0" builtinId="0"/>
  </cellStyles>
  <dxfs count="122">
    <dxf>
      <numFmt numFmtId="169" formatCode="&quot;$&quot;#,##0"/>
    </dxf>
    <dxf>
      <numFmt numFmtId="0" formatCode="General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numFmt numFmtId="168" formatCode="0.0"/>
    </dxf>
    <dxf>
      <numFmt numFmtId="168" formatCode="0.0"/>
    </dxf>
    <dxf>
      <numFmt numFmtId="168" formatCode="0.0"/>
    </dxf>
    <dxf>
      <numFmt numFmtId="0" formatCode="General"/>
    </dxf>
    <dxf>
      <numFmt numFmtId="0" formatCode="General"/>
    </dxf>
    <dxf>
      <numFmt numFmtId="14" formatCode="0.00%"/>
    </dxf>
    <dxf>
      <numFmt numFmtId="167" formatCode="&quot;$&quot;#,##0.00"/>
    </dxf>
    <dxf>
      <numFmt numFmtId="0" formatCode="General"/>
    </dxf>
    <dxf>
      <numFmt numFmtId="0" formatCode="General"/>
    </dxf>
    <dxf>
      <numFmt numFmtId="167" formatCode="&quot;$&quot;#,##0.00"/>
    </dxf>
    <dxf>
      <numFmt numFmtId="0" formatCode="General"/>
    </dxf>
    <dxf>
      <numFmt numFmtId="167" formatCode="&quot;$&quot;#,##0.00"/>
    </dxf>
    <dxf>
      <numFmt numFmtId="169" formatCode="&quot;$&quot;#,##0"/>
    </dxf>
    <dxf>
      <numFmt numFmtId="0" formatCode="General"/>
    </dxf>
    <dxf>
      <numFmt numFmtId="0" formatCode="General"/>
    </dxf>
    <dxf>
      <numFmt numFmtId="0" formatCode="General"/>
    </dxf>
    <dxf>
      <numFmt numFmtId="167" formatCode="&quot;$&quot;#,##0.00"/>
    </dxf>
    <dxf>
      <numFmt numFmtId="167" formatCode="&quot;$&quot;#,##0.00"/>
    </dxf>
    <dxf>
      <numFmt numFmtId="169" formatCode="&quot;$&quot;#,##0"/>
    </dxf>
    <dxf>
      <numFmt numFmtId="0" formatCode="General"/>
    </dxf>
    <dxf>
      <numFmt numFmtId="0" formatCode="General"/>
    </dxf>
    <dxf>
      <numFmt numFmtId="168" formatCode="0.0"/>
    </dxf>
    <dxf>
      <numFmt numFmtId="168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0.0"/>
    </dxf>
    <dxf>
      <numFmt numFmtId="168" formatCode="0.0"/>
    </dxf>
    <dxf>
      <numFmt numFmtId="0" formatCode="General"/>
    </dxf>
    <dxf>
      <numFmt numFmtId="0" formatCode="General"/>
    </dxf>
    <dxf>
      <numFmt numFmtId="169" formatCode="&quot;$&quot;#,##0"/>
    </dxf>
    <dxf>
      <numFmt numFmtId="167" formatCode="&quot;$&quot;#,##0.00"/>
    </dxf>
    <dxf>
      <numFmt numFmtId="167" formatCode="&quot;$&quot;#,##0.00"/>
    </dxf>
    <dxf>
      <numFmt numFmtId="0" formatCode="General"/>
    </dxf>
    <dxf>
      <numFmt numFmtId="0" formatCode="General"/>
    </dxf>
    <dxf>
      <numFmt numFmtId="0" formatCode="General"/>
    </dxf>
    <dxf>
      <numFmt numFmtId="169" formatCode="&quot;$&quot;#,##0"/>
    </dxf>
    <dxf>
      <numFmt numFmtId="167" formatCode="&quot;$&quot;#,##0.00"/>
    </dxf>
    <dxf>
      <numFmt numFmtId="167" formatCode="&quot;$&quot;#,##0.00"/>
    </dxf>
    <dxf>
      <numFmt numFmtId="0" formatCode="General"/>
    </dxf>
    <dxf>
      <numFmt numFmtId="0" formatCode="General"/>
    </dxf>
    <dxf>
      <numFmt numFmtId="167" formatCode="&quot;$&quot;#,##0.00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168" formatCode="0.0"/>
    </dxf>
    <dxf>
      <numFmt numFmtId="168" formatCode="0.0"/>
    </dxf>
    <dxf>
      <numFmt numFmtId="168" formatCode="0.0"/>
    </dxf>
    <dxf>
      <numFmt numFmtId="169" formatCode="&quot;$&quot;#,##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0" formatCode="General"/>
    </dxf>
    <dxf>
      <numFmt numFmtId="167" formatCode="&quot;$&quot;#,##0.00"/>
    </dxf>
    <dxf>
      <numFmt numFmtId="0" formatCode="General"/>
    </dxf>
    <dxf>
      <numFmt numFmtId="169" formatCode="&quot;$&quot;#,##0"/>
    </dxf>
    <dxf>
      <numFmt numFmtId="167" formatCode="&quot;$&quot;#,##0.00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169" formatCode="&quot;$&quot;#,##0"/>
    </dxf>
    <dxf>
      <numFmt numFmtId="0" formatCode="General"/>
    </dxf>
    <dxf>
      <numFmt numFmtId="0" formatCode="General"/>
    </dxf>
    <dxf>
      <numFmt numFmtId="168" formatCode="0.0"/>
    </dxf>
    <dxf>
      <numFmt numFmtId="168" formatCode="0.0"/>
    </dxf>
    <dxf>
      <numFmt numFmtId="168" formatCode="0.0"/>
    </dxf>
    <dxf>
      <numFmt numFmtId="168" formatCode="0.0"/>
    </dxf>
    <dxf>
      <numFmt numFmtId="0" formatCode="General"/>
    </dxf>
    <dxf>
      <numFmt numFmtId="0" formatCode="General"/>
    </dxf>
    <dxf>
      <numFmt numFmtId="168" formatCode="0.0"/>
    </dxf>
    <dxf>
      <numFmt numFmtId="169" formatCode="&quot;$&quot;#,##0"/>
    </dxf>
    <dxf>
      <numFmt numFmtId="164" formatCode="mm/dd/yy;@"/>
      <alignment horizontal="right" vertical="bottom" textRotation="0" wrapText="0" indent="0" justifyLastLine="0" shrinkToFit="0" readingOrder="0"/>
    </dxf>
    <dxf>
      <numFmt numFmtId="173" formatCode="dd/mm/yyyy;@"/>
      <alignment horizontal="right" vertical="bottom" textRotation="0" wrapText="0" indent="0" justifyLastLine="0" shrinkToFit="0" readingOrder="0"/>
    </dxf>
    <dxf>
      <numFmt numFmtId="168" formatCode="0.0"/>
    </dxf>
    <dxf>
      <numFmt numFmtId="168" formatCode="0.0"/>
    </dxf>
    <dxf>
      <numFmt numFmtId="168" formatCode="0.0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167" formatCode="&quot;$&quot;#,##0.00"/>
    </dxf>
    <dxf>
      <numFmt numFmtId="0" formatCode="General"/>
    </dxf>
    <dxf>
      <numFmt numFmtId="0" formatCode="General"/>
    </dxf>
    <dxf>
      <numFmt numFmtId="167" formatCode="&quot;$&quot;#,##0.00"/>
    </dxf>
    <dxf>
      <numFmt numFmtId="167" formatCode="&quot;$&quot;#,##0.00"/>
    </dxf>
    <dxf>
      <numFmt numFmtId="169" formatCode="&quot;$&quot;#,##0"/>
    </dxf>
    <dxf>
      <numFmt numFmtId="0" formatCode="General"/>
    </dxf>
    <dxf>
      <numFmt numFmtId="0" formatCode="General"/>
    </dxf>
    <dxf>
      <numFmt numFmtId="0" formatCode="General"/>
    </dxf>
    <dxf>
      <numFmt numFmtId="167" formatCode="&quot;$&quot;#,##0.00"/>
    </dxf>
    <dxf>
      <numFmt numFmtId="167" formatCode="&quot;$&quot;#,##0.00"/>
    </dxf>
    <dxf>
      <numFmt numFmtId="169" formatCode="&quot;$&quot;#,##0"/>
    </dxf>
    <dxf>
      <numFmt numFmtId="0" formatCode="General"/>
    </dxf>
    <dxf>
      <numFmt numFmtId="0" formatCode="General"/>
    </dxf>
    <dxf>
      <numFmt numFmtId="168" formatCode="0.0"/>
    </dxf>
    <dxf>
      <numFmt numFmtId="168" formatCode="0.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&quot;$&quot;#,##0.00;[Red]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5" formatCode="&quot;$&quot;#,##0;[Red]&quot;$&quot;#,##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12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5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pivotCacheDefinition" Target="pivotCache/pivotCacheDefinition11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0.xml"/><Relationship Id="rId20" Type="http://schemas.openxmlformats.org/officeDocument/2006/relationships/pivotCacheDefinition" Target="pivotCache/pivotCacheDefinition14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9.xml"/><Relationship Id="rId23" Type="http://schemas.openxmlformats.org/officeDocument/2006/relationships/pivotCacheDefinition" Target="pivotCache/pivotCacheDefinition17.xml"/><Relationship Id="rId28" Type="http://schemas.openxmlformats.org/officeDocument/2006/relationships/sheetMetadata" Target="metadata.xml"/><Relationship Id="rId10" Type="http://schemas.openxmlformats.org/officeDocument/2006/relationships/pivotCacheDefinition" Target="pivotCache/pivotCacheDefinition4.xml"/><Relationship Id="rId19" Type="http://schemas.openxmlformats.org/officeDocument/2006/relationships/pivotCacheDefinition" Target="pivotCache/pivotCacheDefinition1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ivotCacheDefinition" Target="pivotCache/pivotCacheDefinition16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Dashboard!A1"/><Relationship Id="rId2" Type="http://schemas.openxmlformats.org/officeDocument/2006/relationships/hyperlink" Target="#Sheet1!A1"/><Relationship Id="rId1" Type="http://schemas.openxmlformats.org/officeDocument/2006/relationships/hyperlink" Target="#Raw_Employee_Dat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Dashboard!A1"/><Relationship Id="rId2" Type="http://schemas.openxmlformats.org/officeDocument/2006/relationships/hyperlink" Target="#Sheet1!A1"/><Relationship Id="rId1" Type="http://schemas.openxmlformats.org/officeDocument/2006/relationships/hyperlink" Target="#Raw_Employee_Dat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76200</xdr:rowOff>
    </xdr:from>
    <xdr:to>
      <xdr:col>14</xdr:col>
      <xdr:colOff>0</xdr:colOff>
      <xdr:row>28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E2EEEA2E-B60A-A4F8-1A23-7BC8AE561695}"/>
            </a:ext>
          </a:extLst>
        </xdr:cNvPr>
        <xdr:cNvSpPr/>
      </xdr:nvSpPr>
      <xdr:spPr>
        <a:xfrm>
          <a:off x="142875" y="76200"/>
          <a:ext cx="8391525" cy="5257800"/>
        </a:xfrm>
        <a:prstGeom prst="roundRect">
          <a:avLst>
            <a:gd name="adj" fmla="val 163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0</xdr:col>
      <xdr:colOff>180975</xdr:colOff>
      <xdr:row>0</xdr:row>
      <xdr:rowOff>152400</xdr:rowOff>
    </xdr:from>
    <xdr:to>
      <xdr:col>13</xdr:col>
      <xdr:colOff>552450</xdr:colOff>
      <xdr:row>3</xdr:row>
      <xdr:rowOff>133350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0AE4F99C-06A2-C243-0A0F-7C7F91BFB3AA}"/>
            </a:ext>
          </a:extLst>
        </xdr:cNvPr>
        <xdr:cNvSpPr/>
      </xdr:nvSpPr>
      <xdr:spPr>
        <a:xfrm>
          <a:off x="180975" y="152400"/>
          <a:ext cx="8296275" cy="5524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0</xdr:col>
      <xdr:colOff>238124</xdr:colOff>
      <xdr:row>4</xdr:row>
      <xdr:rowOff>9525</xdr:rowOff>
    </xdr:from>
    <xdr:to>
      <xdr:col>2</xdr:col>
      <xdr:colOff>190499</xdr:colOff>
      <xdr:row>27</xdr:row>
      <xdr:rowOff>95250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5E75DAF7-8D88-313A-B4C7-64271EBFAAAC}"/>
            </a:ext>
          </a:extLst>
        </xdr:cNvPr>
        <xdr:cNvSpPr/>
      </xdr:nvSpPr>
      <xdr:spPr>
        <a:xfrm>
          <a:off x="238124" y="771525"/>
          <a:ext cx="1171575" cy="44672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</xdr:col>
      <xdr:colOff>314325</xdr:colOff>
      <xdr:row>4</xdr:row>
      <xdr:rowOff>66675</xdr:rowOff>
    </xdr:from>
    <xdr:to>
      <xdr:col>4</xdr:col>
      <xdr:colOff>457201</xdr:colOff>
      <xdr:row>7</xdr:row>
      <xdr:rowOff>180975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77B809B9-5E01-36A5-CC22-EE913CAE852B}"/>
            </a:ext>
          </a:extLst>
        </xdr:cNvPr>
        <xdr:cNvSpPr/>
      </xdr:nvSpPr>
      <xdr:spPr>
        <a:xfrm>
          <a:off x="1533525" y="828675"/>
          <a:ext cx="1362076" cy="685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05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</a:t>
          </a:r>
          <a:r>
            <a:rPr lang="en-US" sz="1050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Headcounts</a:t>
          </a:r>
          <a:endParaRPr lang="en-US" sz="105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</xdr:col>
      <xdr:colOff>314325</xdr:colOff>
      <xdr:row>1</xdr:row>
      <xdr:rowOff>38100</xdr:rowOff>
    </xdr:from>
    <xdr:to>
      <xdr:col>13</xdr:col>
      <xdr:colOff>466724</xdr:colOff>
      <xdr:row>3</xdr:row>
      <xdr:rowOff>95250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D7A9B6C-C3A5-B653-AC12-BE36439EC4BA}"/>
            </a:ext>
          </a:extLst>
        </xdr:cNvPr>
        <xdr:cNvSpPr txBox="1"/>
      </xdr:nvSpPr>
      <xdr:spPr>
        <a:xfrm>
          <a:off x="923925" y="228600"/>
          <a:ext cx="7467599" cy="438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0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HR ANALYSIS DASHBOARD -</a:t>
          </a:r>
          <a:r>
            <a:rPr lang="en-US" sz="2000" b="1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</a:t>
          </a:r>
          <a:endParaRPr lang="en-US" sz="2000" b="1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0</xdr:col>
      <xdr:colOff>323851</xdr:colOff>
      <xdr:row>11</xdr:row>
      <xdr:rowOff>152400</xdr:rowOff>
    </xdr:from>
    <xdr:to>
      <xdr:col>2</xdr:col>
      <xdr:colOff>114301</xdr:colOff>
      <xdr:row>14</xdr:row>
      <xdr:rowOff>47625</xdr:rowOff>
    </xdr:to>
    <xdr:sp macro="" textlink="">
      <xdr:nvSpPr>
        <xdr:cNvPr id="9" name="Rectangle: Rounded Corners 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8306B2-62C4-454C-8E11-F9F8914869B9}"/>
            </a:ext>
          </a:extLst>
        </xdr:cNvPr>
        <xdr:cNvSpPr/>
      </xdr:nvSpPr>
      <xdr:spPr>
        <a:xfrm>
          <a:off x="323851" y="2247900"/>
          <a:ext cx="1009650" cy="4667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Dataset</a:t>
          </a:r>
        </a:p>
      </xdr:txBody>
    </xdr:sp>
    <xdr:clientData/>
  </xdr:twoCellAnchor>
  <xdr:twoCellAnchor>
    <xdr:from>
      <xdr:col>0</xdr:col>
      <xdr:colOff>304801</xdr:colOff>
      <xdr:row>8</xdr:row>
      <xdr:rowOff>114300</xdr:rowOff>
    </xdr:from>
    <xdr:to>
      <xdr:col>2</xdr:col>
      <xdr:colOff>95251</xdr:colOff>
      <xdr:row>11</xdr:row>
      <xdr:rowOff>57150</xdr:rowOff>
    </xdr:to>
    <xdr:sp macro="" textlink="">
      <xdr:nvSpPr>
        <xdr:cNvPr id="14" name="Rectangle: Rounded Corners 1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D8D172B-EE0C-457A-8FE6-D1BAB1B6D2E7}"/>
            </a:ext>
          </a:extLst>
        </xdr:cNvPr>
        <xdr:cNvSpPr/>
      </xdr:nvSpPr>
      <xdr:spPr>
        <a:xfrm>
          <a:off x="304801" y="1638300"/>
          <a:ext cx="1009650" cy="5143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Performance &amp; Bonus </a:t>
          </a:r>
        </a:p>
      </xdr:txBody>
    </xdr:sp>
    <xdr:clientData/>
  </xdr:twoCellAnchor>
  <xdr:twoCellAnchor>
    <xdr:from>
      <xdr:col>0</xdr:col>
      <xdr:colOff>304801</xdr:colOff>
      <xdr:row>5</xdr:row>
      <xdr:rowOff>38100</xdr:rowOff>
    </xdr:from>
    <xdr:to>
      <xdr:col>2</xdr:col>
      <xdr:colOff>95251</xdr:colOff>
      <xdr:row>7</xdr:row>
      <xdr:rowOff>161925</xdr:rowOff>
    </xdr:to>
    <xdr:sp macro="" textlink="">
      <xdr:nvSpPr>
        <xdr:cNvPr id="15" name="Rectangle: Rounded Corners 1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3965CEA-1945-4D79-9BEE-875CE3BB379C}"/>
            </a:ext>
          </a:extLst>
        </xdr:cNvPr>
        <xdr:cNvSpPr/>
      </xdr:nvSpPr>
      <xdr:spPr>
        <a:xfrm>
          <a:off x="304801" y="990600"/>
          <a:ext cx="1009650" cy="5048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Salary</a:t>
          </a:r>
        </a:p>
      </xdr:txBody>
    </xdr:sp>
    <xdr:clientData/>
  </xdr:twoCellAnchor>
  <xdr:twoCellAnchor>
    <xdr:from>
      <xdr:col>2</xdr:col>
      <xdr:colOff>386236</xdr:colOff>
      <xdr:row>5</xdr:row>
      <xdr:rowOff>161925</xdr:rowOff>
    </xdr:from>
    <xdr:to>
      <xdr:col>4</xdr:col>
      <xdr:colOff>375764</xdr:colOff>
      <xdr:row>7</xdr:row>
      <xdr:rowOff>57150</xdr:rowOff>
    </xdr:to>
    <xdr:sp macro="" textlink="Analysis!C4">
      <xdr:nvSpPr>
        <xdr:cNvPr id="16" name="TextBox 15">
          <a:extLst>
            <a:ext uri="{FF2B5EF4-FFF2-40B4-BE49-F238E27FC236}">
              <a16:creationId xmlns:a16="http://schemas.microsoft.com/office/drawing/2014/main" id="{A4D7EEE9-07EA-227F-C082-C8B0D66F2E26}"/>
            </a:ext>
          </a:extLst>
        </xdr:cNvPr>
        <xdr:cNvSpPr txBox="1"/>
      </xdr:nvSpPr>
      <xdr:spPr>
        <a:xfrm>
          <a:off x="1605436" y="1114425"/>
          <a:ext cx="1208728" cy="276225"/>
        </a:xfrm>
        <a:prstGeom prst="rect">
          <a:avLst/>
        </a:prstGeom>
        <a:noFill/>
        <a:ln w="28575" cmpd="sng">
          <a:solidFill>
            <a:schemeClr val="bg1">
              <a:lumMod val="75000"/>
            </a:schemeClr>
          </a:solidFill>
        </a:ln>
        <a:effectLst>
          <a:glow rad="228600">
            <a:schemeClr val="accent1">
              <a:satMod val="175000"/>
              <a:alpha val="40000"/>
            </a:schemeClr>
          </a:glo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CC8E06B-3ED0-4B90-9280-BC2E60754345}" type="TxLink"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150</a:t>
          </a:fld>
          <a:endParaRPr lang="en-US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5</xdr:col>
      <xdr:colOff>0</xdr:colOff>
      <xdr:row>4</xdr:row>
      <xdr:rowOff>76200</xdr:rowOff>
    </xdr:from>
    <xdr:to>
      <xdr:col>7</xdr:col>
      <xdr:colOff>47626</xdr:colOff>
      <xdr:row>8</xdr:row>
      <xdr:rowOff>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6D1333FE-AD0D-4157-9D16-4149BD5AB210}"/>
            </a:ext>
          </a:extLst>
        </xdr:cNvPr>
        <xdr:cNvSpPr/>
      </xdr:nvSpPr>
      <xdr:spPr>
        <a:xfrm>
          <a:off x="3048000" y="838200"/>
          <a:ext cx="1266826" cy="685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0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</a:t>
          </a:r>
          <a:r>
            <a:rPr lang="en-US" sz="1000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Payout</a:t>
          </a:r>
          <a:endParaRPr lang="en-US" sz="10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5</xdr:col>
      <xdr:colOff>66549</xdr:colOff>
      <xdr:row>5</xdr:row>
      <xdr:rowOff>171450</xdr:rowOff>
    </xdr:from>
    <xdr:to>
      <xdr:col>6</xdr:col>
      <xdr:colOff>581151</xdr:colOff>
      <xdr:row>7</xdr:row>
      <xdr:rowOff>66675</xdr:rowOff>
    </xdr:to>
    <xdr:sp macro="" textlink="Analysis!E4">
      <xdr:nvSpPr>
        <xdr:cNvPr id="8" name="TextBox 7">
          <a:extLst>
            <a:ext uri="{FF2B5EF4-FFF2-40B4-BE49-F238E27FC236}">
              <a16:creationId xmlns:a16="http://schemas.microsoft.com/office/drawing/2014/main" id="{A408997B-D71A-49A9-AFD4-B9E78809F14C}"/>
            </a:ext>
          </a:extLst>
        </xdr:cNvPr>
        <xdr:cNvSpPr txBox="1"/>
      </xdr:nvSpPr>
      <xdr:spPr>
        <a:xfrm>
          <a:off x="3114549" y="1123950"/>
          <a:ext cx="1124202" cy="276225"/>
        </a:xfrm>
        <a:prstGeom prst="rect">
          <a:avLst/>
        </a:prstGeom>
        <a:noFill/>
        <a:ln w="2857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638C3BAF-AF51-4E70-90B1-920C0381FB0C}" type="TxLink">
            <a:rPr lang="en-US" sz="1100" b="0" i="0" u="none" strike="noStrike">
              <a:solidFill>
                <a:schemeClr val="bg1"/>
              </a:solidFill>
              <a:latin typeface="Calibri"/>
              <a:cs typeface="Calibri"/>
            </a:rPr>
            <a:t>$12,501,166</a:t>
          </a:fld>
          <a:endParaRPr lang="en-US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7</xdr:col>
      <xdr:colOff>219075</xdr:colOff>
      <xdr:row>4</xdr:row>
      <xdr:rowOff>95250</xdr:rowOff>
    </xdr:from>
    <xdr:to>
      <xdr:col>9</xdr:col>
      <xdr:colOff>247651</xdr:colOff>
      <xdr:row>8</xdr:row>
      <xdr:rowOff>19050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C67D4479-E059-4112-A361-F27EEE72D615}"/>
            </a:ext>
          </a:extLst>
        </xdr:cNvPr>
        <xdr:cNvSpPr/>
      </xdr:nvSpPr>
      <xdr:spPr>
        <a:xfrm>
          <a:off x="4486275" y="857250"/>
          <a:ext cx="1247776" cy="685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0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</a:t>
          </a:r>
          <a:r>
            <a:rPr lang="en-US" sz="1000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Headcounts</a:t>
          </a:r>
          <a:endParaRPr lang="en-US" sz="10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7</xdr:col>
      <xdr:colOff>284551</xdr:colOff>
      <xdr:row>6</xdr:row>
      <xdr:rowOff>0</xdr:rowOff>
    </xdr:from>
    <xdr:to>
      <xdr:col>9</xdr:col>
      <xdr:colOff>172649</xdr:colOff>
      <xdr:row>7</xdr:row>
      <xdr:rowOff>85725</xdr:rowOff>
    </xdr:to>
    <xdr:sp macro="" textlink="Analysis!C4">
      <xdr:nvSpPr>
        <xdr:cNvPr id="13" name="TextBox 12">
          <a:extLst>
            <a:ext uri="{FF2B5EF4-FFF2-40B4-BE49-F238E27FC236}">
              <a16:creationId xmlns:a16="http://schemas.microsoft.com/office/drawing/2014/main" id="{F6E57A59-8A10-4405-B420-4923A9E61877}"/>
            </a:ext>
          </a:extLst>
        </xdr:cNvPr>
        <xdr:cNvSpPr txBox="1"/>
      </xdr:nvSpPr>
      <xdr:spPr>
        <a:xfrm>
          <a:off x="4551751" y="1143000"/>
          <a:ext cx="1107298" cy="276225"/>
        </a:xfrm>
        <a:prstGeom prst="rect">
          <a:avLst/>
        </a:prstGeom>
        <a:noFill/>
        <a:ln w="2857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CC8E06B-3ED0-4B90-9280-BC2E60754345}" type="TxLink"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150</a:t>
          </a:fld>
          <a:endParaRPr lang="en-US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9</xdr:col>
      <xdr:colOff>409575</xdr:colOff>
      <xdr:row>4</xdr:row>
      <xdr:rowOff>104775</xdr:rowOff>
    </xdr:from>
    <xdr:to>
      <xdr:col>11</xdr:col>
      <xdr:colOff>457201</xdr:colOff>
      <xdr:row>8</xdr:row>
      <xdr:rowOff>28575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D0446666-B087-4FD9-A4E6-078B392568D1}"/>
            </a:ext>
          </a:extLst>
        </xdr:cNvPr>
        <xdr:cNvSpPr/>
      </xdr:nvSpPr>
      <xdr:spPr>
        <a:xfrm>
          <a:off x="5895975" y="866775"/>
          <a:ext cx="1266826" cy="685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0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</a:t>
          </a:r>
          <a:r>
            <a:rPr lang="en-US" sz="1000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Headcounts</a:t>
          </a:r>
          <a:endParaRPr lang="en-US" sz="10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9</xdr:col>
      <xdr:colOff>476124</xdr:colOff>
      <xdr:row>6</xdr:row>
      <xdr:rowOff>9525</xdr:rowOff>
    </xdr:from>
    <xdr:to>
      <xdr:col>11</xdr:col>
      <xdr:colOff>381126</xdr:colOff>
      <xdr:row>7</xdr:row>
      <xdr:rowOff>95250</xdr:rowOff>
    </xdr:to>
    <xdr:sp macro="" textlink="Analysis!C4">
      <xdr:nvSpPr>
        <xdr:cNvPr id="18" name="TextBox 17">
          <a:extLst>
            <a:ext uri="{FF2B5EF4-FFF2-40B4-BE49-F238E27FC236}">
              <a16:creationId xmlns:a16="http://schemas.microsoft.com/office/drawing/2014/main" id="{A80AF4D9-D69B-460F-AD37-32243AF1BA4E}"/>
            </a:ext>
          </a:extLst>
        </xdr:cNvPr>
        <xdr:cNvSpPr txBox="1"/>
      </xdr:nvSpPr>
      <xdr:spPr>
        <a:xfrm>
          <a:off x="5962524" y="1152525"/>
          <a:ext cx="1124202" cy="276225"/>
        </a:xfrm>
        <a:prstGeom prst="rect">
          <a:avLst/>
        </a:prstGeom>
        <a:noFill/>
        <a:ln w="2857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CC8E06B-3ED0-4B90-9280-BC2E60754345}" type="TxLink"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150</a:t>
          </a:fld>
          <a:endParaRPr lang="en-US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13</xdr:col>
      <xdr:colOff>466725</xdr:colOff>
      <xdr:row>27</xdr:row>
      <xdr:rowOff>114300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C51BE6FB-08AD-4F2A-8162-FA9EE0C2A0CB}"/>
            </a:ext>
          </a:extLst>
        </xdr:cNvPr>
        <xdr:cNvSpPr/>
      </xdr:nvSpPr>
      <xdr:spPr>
        <a:xfrm>
          <a:off x="0" y="0"/>
          <a:ext cx="8391525" cy="5257800"/>
        </a:xfrm>
        <a:prstGeom prst="roundRect">
          <a:avLst>
            <a:gd name="adj" fmla="val 163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0</xdr:col>
      <xdr:colOff>38100</xdr:colOff>
      <xdr:row>0</xdr:row>
      <xdr:rowOff>76200</xdr:rowOff>
    </xdr:from>
    <xdr:to>
      <xdr:col>13</xdr:col>
      <xdr:colOff>409575</xdr:colOff>
      <xdr:row>3</xdr:row>
      <xdr:rowOff>57150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BADC30D6-9100-445F-9EDE-E7516DCB4CB7}"/>
            </a:ext>
          </a:extLst>
        </xdr:cNvPr>
        <xdr:cNvSpPr/>
      </xdr:nvSpPr>
      <xdr:spPr>
        <a:xfrm>
          <a:off x="38100" y="76200"/>
          <a:ext cx="8296275" cy="5524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0</xdr:col>
      <xdr:colOff>95249</xdr:colOff>
      <xdr:row>3</xdr:row>
      <xdr:rowOff>123825</xdr:rowOff>
    </xdr:from>
    <xdr:to>
      <xdr:col>2</xdr:col>
      <xdr:colOff>47624</xdr:colOff>
      <xdr:row>27</xdr:row>
      <xdr:rowOff>19050</xdr:rowOff>
    </xdr:to>
    <xdr:sp macro="" textlink="">
      <xdr:nvSpPr>
        <xdr:cNvPr id="32" name="Rectangle: Rounded Corners 31">
          <a:extLst>
            <a:ext uri="{FF2B5EF4-FFF2-40B4-BE49-F238E27FC236}">
              <a16:creationId xmlns:a16="http://schemas.microsoft.com/office/drawing/2014/main" id="{B28C1F6C-F42F-46DB-B3F0-70AB41FD1CCA}"/>
            </a:ext>
          </a:extLst>
        </xdr:cNvPr>
        <xdr:cNvSpPr/>
      </xdr:nvSpPr>
      <xdr:spPr>
        <a:xfrm>
          <a:off x="95249" y="695325"/>
          <a:ext cx="1171575" cy="44672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</xdr:col>
      <xdr:colOff>171450</xdr:colOff>
      <xdr:row>3</xdr:row>
      <xdr:rowOff>180975</xdr:rowOff>
    </xdr:from>
    <xdr:to>
      <xdr:col>4</xdr:col>
      <xdr:colOff>314326</xdr:colOff>
      <xdr:row>7</xdr:row>
      <xdr:rowOff>104775</xdr:rowOff>
    </xdr:to>
    <xdr:sp macro="" textlink="">
      <xdr:nvSpPr>
        <xdr:cNvPr id="33" name="Rectangle: Rounded Corners 32">
          <a:extLst>
            <a:ext uri="{FF2B5EF4-FFF2-40B4-BE49-F238E27FC236}">
              <a16:creationId xmlns:a16="http://schemas.microsoft.com/office/drawing/2014/main" id="{301C7DCD-EC6B-47CA-AECC-2492887464FC}"/>
            </a:ext>
          </a:extLst>
        </xdr:cNvPr>
        <xdr:cNvSpPr/>
      </xdr:nvSpPr>
      <xdr:spPr>
        <a:xfrm>
          <a:off x="1390650" y="752475"/>
          <a:ext cx="1362076" cy="685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050">
              <a:latin typeface="Segoe UI" panose="020B0502040204020203" pitchFamily="34" charset="0"/>
              <a:cs typeface="Segoe UI" panose="020B0502040204020203" pitchFamily="34" charset="0"/>
            </a:rPr>
            <a:t>Total</a:t>
          </a:r>
          <a:r>
            <a:rPr lang="en-US" sz="1050" baseline="0">
              <a:latin typeface="Segoe UI" panose="020B0502040204020203" pitchFamily="34" charset="0"/>
              <a:cs typeface="Segoe UI" panose="020B0502040204020203" pitchFamily="34" charset="0"/>
            </a:rPr>
            <a:t> Headcounts</a:t>
          </a:r>
          <a:endParaRPr lang="en-US" sz="105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</xdr:col>
      <xdr:colOff>171450</xdr:colOff>
      <xdr:row>0</xdr:row>
      <xdr:rowOff>152400</xdr:rowOff>
    </xdr:from>
    <xdr:to>
      <xdr:col>13</xdr:col>
      <xdr:colOff>323849</xdr:colOff>
      <xdr:row>3</xdr:row>
      <xdr:rowOff>19050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7DC80DF3-2102-4B06-92CA-93331024D523}"/>
            </a:ext>
          </a:extLst>
        </xdr:cNvPr>
        <xdr:cNvSpPr txBox="1"/>
      </xdr:nvSpPr>
      <xdr:spPr>
        <a:xfrm>
          <a:off x="781050" y="152400"/>
          <a:ext cx="7467599" cy="438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0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HR ANALYSIS DASHBOARD -</a:t>
          </a:r>
          <a:r>
            <a:rPr lang="en-US" sz="2000" b="1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</a:t>
          </a:r>
          <a:endParaRPr lang="en-US" sz="2000" b="1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0</xdr:col>
      <xdr:colOff>180976</xdr:colOff>
      <xdr:row>11</xdr:row>
      <xdr:rowOff>76200</xdr:rowOff>
    </xdr:from>
    <xdr:to>
      <xdr:col>1</xdr:col>
      <xdr:colOff>581026</xdr:colOff>
      <xdr:row>13</xdr:row>
      <xdr:rowOff>161925</xdr:rowOff>
    </xdr:to>
    <xdr:sp macro="" textlink="">
      <xdr:nvSpPr>
        <xdr:cNvPr id="35" name="Rectangle: Rounded Corners 3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B1C8E-43E1-4100-8221-FC38D3DA71CE}"/>
            </a:ext>
          </a:extLst>
        </xdr:cNvPr>
        <xdr:cNvSpPr/>
      </xdr:nvSpPr>
      <xdr:spPr>
        <a:xfrm>
          <a:off x="180976" y="2171700"/>
          <a:ext cx="1009650" cy="4667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latin typeface="Segoe UI" panose="020B0502040204020203" pitchFamily="34" charset="0"/>
              <a:cs typeface="Segoe UI" panose="020B0502040204020203" pitchFamily="34" charset="0"/>
            </a:rPr>
            <a:t>Dataset</a:t>
          </a:r>
        </a:p>
      </xdr:txBody>
    </xdr:sp>
    <xdr:clientData/>
  </xdr:twoCellAnchor>
  <xdr:twoCellAnchor>
    <xdr:from>
      <xdr:col>0</xdr:col>
      <xdr:colOff>161926</xdr:colOff>
      <xdr:row>8</xdr:row>
      <xdr:rowOff>38100</xdr:rowOff>
    </xdr:from>
    <xdr:to>
      <xdr:col>1</xdr:col>
      <xdr:colOff>561976</xdr:colOff>
      <xdr:row>10</xdr:row>
      <xdr:rowOff>171450</xdr:rowOff>
    </xdr:to>
    <xdr:sp macro="" textlink="">
      <xdr:nvSpPr>
        <xdr:cNvPr id="36" name="Rectangle: Rounded Corners 3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D3F5A88-4382-48C9-8811-CFEF25C81EE8}"/>
            </a:ext>
          </a:extLst>
        </xdr:cNvPr>
        <xdr:cNvSpPr/>
      </xdr:nvSpPr>
      <xdr:spPr>
        <a:xfrm>
          <a:off x="161926" y="1562100"/>
          <a:ext cx="1009650" cy="5143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latin typeface="Segoe UI" panose="020B0502040204020203" pitchFamily="34" charset="0"/>
              <a:cs typeface="Segoe UI" panose="020B0502040204020203" pitchFamily="34" charset="0"/>
            </a:rPr>
            <a:t>Performance &amp; Bonus </a:t>
          </a:r>
        </a:p>
      </xdr:txBody>
    </xdr:sp>
    <xdr:clientData/>
  </xdr:twoCellAnchor>
  <xdr:twoCellAnchor>
    <xdr:from>
      <xdr:col>0</xdr:col>
      <xdr:colOff>161926</xdr:colOff>
      <xdr:row>4</xdr:row>
      <xdr:rowOff>152400</xdr:rowOff>
    </xdr:from>
    <xdr:to>
      <xdr:col>1</xdr:col>
      <xdr:colOff>561976</xdr:colOff>
      <xdr:row>7</xdr:row>
      <xdr:rowOff>85725</xdr:rowOff>
    </xdr:to>
    <xdr:sp macro="" textlink="">
      <xdr:nvSpPr>
        <xdr:cNvPr id="37" name="Rectangle: Rounded Corners 3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8BA71AD-5BD7-4CBB-97CF-2DE1980343B0}"/>
            </a:ext>
          </a:extLst>
        </xdr:cNvPr>
        <xdr:cNvSpPr/>
      </xdr:nvSpPr>
      <xdr:spPr>
        <a:xfrm>
          <a:off x="161926" y="914400"/>
          <a:ext cx="1009650" cy="5048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latin typeface="Segoe UI" panose="020B0502040204020203" pitchFamily="34" charset="0"/>
              <a:cs typeface="Segoe UI" panose="020B0502040204020203" pitchFamily="34" charset="0"/>
            </a:rPr>
            <a:t>Salary</a:t>
          </a:r>
        </a:p>
      </xdr:txBody>
    </xdr:sp>
    <xdr:clientData/>
  </xdr:twoCellAnchor>
  <xdr:twoCellAnchor>
    <xdr:from>
      <xdr:col>2</xdr:col>
      <xdr:colOff>243361</xdr:colOff>
      <xdr:row>5</xdr:row>
      <xdr:rowOff>85725</xdr:rowOff>
    </xdr:from>
    <xdr:to>
      <xdr:col>4</xdr:col>
      <xdr:colOff>232889</xdr:colOff>
      <xdr:row>6</xdr:row>
      <xdr:rowOff>171450</xdr:rowOff>
    </xdr:to>
    <xdr:sp macro="" textlink="Analysis!C4">
      <xdr:nvSpPr>
        <xdr:cNvPr id="38" name="TextBox 37">
          <a:extLst>
            <a:ext uri="{FF2B5EF4-FFF2-40B4-BE49-F238E27FC236}">
              <a16:creationId xmlns:a16="http://schemas.microsoft.com/office/drawing/2014/main" id="{6EC8BF56-C763-48E8-A306-B26D7CEBAEC5}"/>
            </a:ext>
          </a:extLst>
        </xdr:cNvPr>
        <xdr:cNvSpPr txBox="1"/>
      </xdr:nvSpPr>
      <xdr:spPr>
        <a:xfrm>
          <a:off x="1462561" y="1038225"/>
          <a:ext cx="1208728" cy="276225"/>
        </a:xfrm>
        <a:prstGeom prst="rect">
          <a:avLst/>
        </a:prstGeom>
        <a:noFill/>
        <a:ln w="2857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CC8E06B-3ED0-4B90-9280-BC2E60754345}" type="TxLink">
            <a:rPr lang="en-US" sz="1100" b="0" i="0" u="none" strike="noStrike">
              <a:solidFill>
                <a:srgbClr val="000000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150</a:t>
          </a:fld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4</xdr:col>
      <xdr:colOff>466725</xdr:colOff>
      <xdr:row>4</xdr:row>
      <xdr:rowOff>0</xdr:rowOff>
    </xdr:from>
    <xdr:to>
      <xdr:col>6</xdr:col>
      <xdr:colOff>514351</xdr:colOff>
      <xdr:row>7</xdr:row>
      <xdr:rowOff>114300</xdr:rowOff>
    </xdr:to>
    <xdr:sp macro="" textlink="">
      <xdr:nvSpPr>
        <xdr:cNvPr id="39" name="Rectangle: Rounded Corners 38">
          <a:extLst>
            <a:ext uri="{FF2B5EF4-FFF2-40B4-BE49-F238E27FC236}">
              <a16:creationId xmlns:a16="http://schemas.microsoft.com/office/drawing/2014/main" id="{3E1BAB2E-A481-4C32-B548-57698F6934BF}"/>
            </a:ext>
          </a:extLst>
        </xdr:cNvPr>
        <xdr:cNvSpPr/>
      </xdr:nvSpPr>
      <xdr:spPr>
        <a:xfrm>
          <a:off x="2905125" y="762000"/>
          <a:ext cx="1266826" cy="685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000">
              <a:latin typeface="Segoe UI" panose="020B0502040204020203" pitchFamily="34" charset="0"/>
              <a:cs typeface="Segoe UI" panose="020B0502040204020203" pitchFamily="34" charset="0"/>
            </a:rPr>
            <a:t>Total</a:t>
          </a:r>
          <a:r>
            <a:rPr lang="en-US" sz="1000" baseline="0">
              <a:latin typeface="Segoe UI" panose="020B0502040204020203" pitchFamily="34" charset="0"/>
              <a:cs typeface="Segoe UI" panose="020B0502040204020203" pitchFamily="34" charset="0"/>
            </a:rPr>
            <a:t> Payout</a:t>
          </a:r>
          <a:endParaRPr lang="en-US" sz="1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4</xdr:col>
      <xdr:colOff>533274</xdr:colOff>
      <xdr:row>5</xdr:row>
      <xdr:rowOff>95250</xdr:rowOff>
    </xdr:from>
    <xdr:to>
      <xdr:col>6</xdr:col>
      <xdr:colOff>438276</xdr:colOff>
      <xdr:row>6</xdr:row>
      <xdr:rowOff>180975</xdr:rowOff>
    </xdr:to>
    <xdr:sp macro="" textlink="Analysis!C4">
      <xdr:nvSpPr>
        <xdr:cNvPr id="40" name="TextBox 39">
          <a:extLst>
            <a:ext uri="{FF2B5EF4-FFF2-40B4-BE49-F238E27FC236}">
              <a16:creationId xmlns:a16="http://schemas.microsoft.com/office/drawing/2014/main" id="{1F62DB13-88D5-4596-AC08-81515E693E8E}"/>
            </a:ext>
          </a:extLst>
        </xdr:cNvPr>
        <xdr:cNvSpPr txBox="1"/>
      </xdr:nvSpPr>
      <xdr:spPr>
        <a:xfrm>
          <a:off x="2971674" y="1047750"/>
          <a:ext cx="1124202" cy="276225"/>
        </a:xfrm>
        <a:prstGeom prst="rect">
          <a:avLst/>
        </a:prstGeom>
        <a:noFill/>
        <a:ln w="2857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CC8E06B-3ED0-4B90-9280-BC2E60754345}" type="TxLink">
            <a:rPr lang="en-US" sz="1100" b="0" i="0" u="none" strike="noStrike">
              <a:solidFill>
                <a:srgbClr val="000000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150</a:t>
          </a:fld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7</xdr:col>
      <xdr:colOff>76200</xdr:colOff>
      <xdr:row>4</xdr:row>
      <xdr:rowOff>19050</xdr:rowOff>
    </xdr:from>
    <xdr:to>
      <xdr:col>9</xdr:col>
      <xdr:colOff>104776</xdr:colOff>
      <xdr:row>7</xdr:row>
      <xdr:rowOff>133350</xdr:rowOff>
    </xdr:to>
    <xdr:sp macro="" textlink="">
      <xdr:nvSpPr>
        <xdr:cNvPr id="41" name="Rectangle: Rounded Corners 40">
          <a:extLst>
            <a:ext uri="{FF2B5EF4-FFF2-40B4-BE49-F238E27FC236}">
              <a16:creationId xmlns:a16="http://schemas.microsoft.com/office/drawing/2014/main" id="{7D1E2316-D0B8-42DE-9B4E-46C852BF41C4}"/>
            </a:ext>
          </a:extLst>
        </xdr:cNvPr>
        <xdr:cNvSpPr/>
      </xdr:nvSpPr>
      <xdr:spPr>
        <a:xfrm>
          <a:off x="4343400" y="781050"/>
          <a:ext cx="1247776" cy="685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000">
              <a:latin typeface="Segoe UI" panose="020B0502040204020203" pitchFamily="34" charset="0"/>
              <a:cs typeface="Segoe UI" panose="020B0502040204020203" pitchFamily="34" charset="0"/>
            </a:rPr>
            <a:t>Total</a:t>
          </a:r>
          <a:r>
            <a:rPr lang="en-US" sz="1000" baseline="0">
              <a:latin typeface="Segoe UI" panose="020B0502040204020203" pitchFamily="34" charset="0"/>
              <a:cs typeface="Segoe UI" panose="020B0502040204020203" pitchFamily="34" charset="0"/>
            </a:rPr>
            <a:t> Headcounts</a:t>
          </a:r>
          <a:endParaRPr lang="en-US" sz="1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7</xdr:col>
      <xdr:colOff>141676</xdr:colOff>
      <xdr:row>5</xdr:row>
      <xdr:rowOff>114300</xdr:rowOff>
    </xdr:from>
    <xdr:to>
      <xdr:col>9</xdr:col>
      <xdr:colOff>29774</xdr:colOff>
      <xdr:row>7</xdr:row>
      <xdr:rowOff>9525</xdr:rowOff>
    </xdr:to>
    <xdr:sp macro="" textlink="Analysis!C4">
      <xdr:nvSpPr>
        <xdr:cNvPr id="42" name="TextBox 41">
          <a:extLst>
            <a:ext uri="{FF2B5EF4-FFF2-40B4-BE49-F238E27FC236}">
              <a16:creationId xmlns:a16="http://schemas.microsoft.com/office/drawing/2014/main" id="{6A053958-5121-483C-8AE1-CAC593C2A2F8}"/>
            </a:ext>
          </a:extLst>
        </xdr:cNvPr>
        <xdr:cNvSpPr txBox="1"/>
      </xdr:nvSpPr>
      <xdr:spPr>
        <a:xfrm>
          <a:off x="4408876" y="1066800"/>
          <a:ext cx="1107298" cy="276225"/>
        </a:xfrm>
        <a:prstGeom prst="rect">
          <a:avLst/>
        </a:prstGeom>
        <a:noFill/>
        <a:ln w="2857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CC8E06B-3ED0-4B90-9280-BC2E60754345}" type="TxLink">
            <a:rPr lang="en-US" sz="1100" b="0" i="0" u="none" strike="noStrike">
              <a:solidFill>
                <a:srgbClr val="000000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150</a:t>
          </a:fld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9</xdr:col>
      <xdr:colOff>266700</xdr:colOff>
      <xdr:row>4</xdr:row>
      <xdr:rowOff>28575</xdr:rowOff>
    </xdr:from>
    <xdr:to>
      <xdr:col>11</xdr:col>
      <xdr:colOff>314326</xdr:colOff>
      <xdr:row>7</xdr:row>
      <xdr:rowOff>142875</xdr:rowOff>
    </xdr:to>
    <xdr:sp macro="" textlink="">
      <xdr:nvSpPr>
        <xdr:cNvPr id="43" name="Rectangle: Rounded Corners 42">
          <a:extLst>
            <a:ext uri="{FF2B5EF4-FFF2-40B4-BE49-F238E27FC236}">
              <a16:creationId xmlns:a16="http://schemas.microsoft.com/office/drawing/2014/main" id="{FD43A063-A30E-4B78-96A8-00B7D9D0306C}"/>
            </a:ext>
          </a:extLst>
        </xdr:cNvPr>
        <xdr:cNvSpPr/>
      </xdr:nvSpPr>
      <xdr:spPr>
        <a:xfrm>
          <a:off x="5753100" y="790575"/>
          <a:ext cx="1266826" cy="685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000">
              <a:latin typeface="Segoe UI" panose="020B0502040204020203" pitchFamily="34" charset="0"/>
              <a:cs typeface="Segoe UI" panose="020B0502040204020203" pitchFamily="34" charset="0"/>
            </a:rPr>
            <a:t>Total</a:t>
          </a:r>
          <a:r>
            <a:rPr lang="en-US" sz="1000" baseline="0">
              <a:latin typeface="Segoe UI" panose="020B0502040204020203" pitchFamily="34" charset="0"/>
              <a:cs typeface="Segoe UI" panose="020B0502040204020203" pitchFamily="34" charset="0"/>
            </a:rPr>
            <a:t> Headcounts</a:t>
          </a:r>
          <a:endParaRPr lang="en-US" sz="1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9</xdr:col>
      <xdr:colOff>333249</xdr:colOff>
      <xdr:row>5</xdr:row>
      <xdr:rowOff>123825</xdr:rowOff>
    </xdr:from>
    <xdr:to>
      <xdr:col>11</xdr:col>
      <xdr:colOff>238251</xdr:colOff>
      <xdr:row>7</xdr:row>
      <xdr:rowOff>19050</xdr:rowOff>
    </xdr:to>
    <xdr:sp macro="" textlink="Analysis!C4">
      <xdr:nvSpPr>
        <xdr:cNvPr id="44" name="TextBox 43">
          <a:extLst>
            <a:ext uri="{FF2B5EF4-FFF2-40B4-BE49-F238E27FC236}">
              <a16:creationId xmlns:a16="http://schemas.microsoft.com/office/drawing/2014/main" id="{2585AE81-4929-46C8-83B6-0231B678E866}"/>
            </a:ext>
          </a:extLst>
        </xdr:cNvPr>
        <xdr:cNvSpPr txBox="1"/>
      </xdr:nvSpPr>
      <xdr:spPr>
        <a:xfrm>
          <a:off x="5819649" y="1076325"/>
          <a:ext cx="1124202" cy="276225"/>
        </a:xfrm>
        <a:prstGeom prst="rect">
          <a:avLst/>
        </a:prstGeom>
        <a:noFill/>
        <a:ln w="2857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CC8E06B-3ED0-4B90-9280-BC2E60754345}" type="TxLink">
            <a:rPr lang="en-US" sz="1100" b="0" i="0" u="none" strike="noStrike">
              <a:solidFill>
                <a:srgbClr val="000000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150</a:t>
          </a:fld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38657406" backgroundQuery="1" createdVersion="8" refreshedVersion="8" minRefreshableVersion="3" recordCount="0" supportSubquery="1" supportAdvancedDrill="1" xr:uid="{92C51921-5C22-48B4-BEDF-AF01D547C6D1}">
  <cacheSource type="external" connectionId="1"/>
  <cacheFields count="3">
    <cacheField name="[Table1].[Department].[Department]" caption="Department" numFmtId="0" hierarchy="3" level="1">
      <sharedItems count="2">
        <s v="Information Technology"/>
        <s v="Sales"/>
      </sharedItems>
    </cacheField>
    <cacheField name="[Table1].[Employment Status].[Employment Status]" caption="Employment Status" numFmtId="0" hierarchy="12" level="1">
      <sharedItems count="1">
        <s v="Active"/>
      </sharedItems>
    </cacheField>
    <cacheField name="[Measures].[Count of Emp ID]" caption="Count of Emp ID" numFmtId="0" hierarchy="20" level="32767"/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40856484" backgroundQuery="1" createdVersion="8" refreshedVersion="8" minRefreshableVersion="3" recordCount="0" supportSubquery="1" supportAdvancedDrill="1" xr:uid="{3AC780DE-6674-4D48-B2A4-EF95FFB1436D}">
  <cacheSource type="external" connectionId="1"/>
  <cacheFields count="3">
    <cacheField name="[Table1].[Employment Status].[Employment Status]" caption="Employment Status" numFmtId="0" hierarchy="12" level="1">
      <sharedItems count="2">
        <s v="Active"/>
        <s v="Left"/>
      </sharedItems>
    </cacheField>
    <cacheField name="[Measures].[Average of Perf_Score]" caption="Average of Perf_Score" numFmtId="0" hierarchy="22" level="32767"/>
    <cacheField name="[Table1].[Department].[Department]" caption="Department" numFmtId="0" hierarchy="3" level="1">
      <sharedItems count="6">
        <s v="Finance"/>
        <s v="Human Resources"/>
        <s v="Information Technology"/>
        <s v="Marketing"/>
        <s v="Operations"/>
        <s v="Sales"/>
      </sharedItems>
    </cacheField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43402778" backgroundQuery="1" createdVersion="8" refreshedVersion="8" minRefreshableVersion="3" recordCount="0" supportSubquery="1" supportAdvancedDrill="1" xr:uid="{91108B22-93DD-4DBB-9DEB-BB022E94C41B}">
  <cacheSource type="external" connectionId="1"/>
  <cacheFields count="3">
    <cacheField name="[Table1].[Department].[Department]" caption="Department" numFmtId="0" hierarchy="3" level="1">
      <sharedItems count="1">
        <s v="Information Technology"/>
      </sharedItems>
    </cacheField>
    <cacheField name="[Table1].[Employment Status].[Employment Status]" caption="Employment Status" numFmtId="0" hierarchy="12" level="1">
      <sharedItems count="1">
        <s v="Left"/>
      </sharedItems>
    </cacheField>
    <cacheField name="[Measures].[Count of Emp ID]" caption="Count of Emp ID" numFmtId="0" hierarchy="20" level="32767"/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4490741" backgroundQuery="1" createdVersion="8" refreshedVersion="8" minRefreshableVersion="3" recordCount="0" supportSubquery="1" supportAdvancedDrill="1" xr:uid="{E8542FA7-B106-454F-B881-A5E1A6C5972C}">
  <cacheSource type="external" connectionId="1"/>
  <cacheFields count="1">
    <cacheField name="[Measures].[Sum of Salary]" caption="Sum of Salary" numFmtId="0" hierarchy="17" level="32767"/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0" memberValueDatatype="130" unbalanced="0"/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0" memberValueDatatype="130" unbalanced="0"/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47106481" backgroundQuery="1" createdVersion="8" refreshedVersion="8" minRefreshableVersion="3" recordCount="0" supportSubquery="1" supportAdvancedDrill="1" xr:uid="{D46E0C91-0188-4A58-8746-28008237BECB}">
  <cacheSource type="external" connectionId="1"/>
  <cacheFields count="3">
    <cacheField name="[Table1].[Performance_Band].[Performance_Band]" caption="Performance_Band" numFmtId="0" hierarchy="9" level="1">
      <sharedItems count="5">
        <s v="Achieving"/>
        <s v="Developing"/>
        <s v="Exceeding"/>
        <s v="Needs Improvement"/>
        <s v="Outstanding"/>
      </sharedItems>
    </cacheField>
    <cacheField name="[Measures].[Sum of Eligible Bonus Amount]" caption="Sum of Eligible Bonus Amount" numFmtId="0" hierarchy="23" level="32767"/>
    <cacheField name="[Table1].[Employment Status].[Employment Status]" caption="Employment Status" numFmtId="0" hierarchy="12" level="1">
      <sharedItems containsSemiMixedTypes="0" containsNonDate="0" containsString="0"/>
    </cacheField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0" memberValueDatatype="130" unbalanced="0"/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48611112" backgroundQuery="1" createdVersion="8" refreshedVersion="8" minRefreshableVersion="3" recordCount="0" supportSubquery="1" supportAdvancedDrill="1" xr:uid="{D502FFC0-ABB7-4FEE-BA5E-B89D4EBE0A28}">
  <cacheSource type="external" connectionId="1"/>
  <cacheFields count="2">
    <cacheField name="[Measures].[Sum of Eligible Bonus Amount]" caption="Sum of Eligible Bonus Amount" numFmtId="0" hierarchy="23" level="32767"/>
    <cacheField name="[Table1].[Employment Status].[Employment Status]" caption="Employment Status" numFmtId="0" hierarchy="12" level="1">
      <sharedItems containsSemiMixedTypes="0" containsNonDate="0" containsString="0"/>
    </cacheField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0" memberValueDatatype="130" unbalanced="0"/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52546299" backgroundQuery="1" createdVersion="8" refreshedVersion="8" minRefreshableVersion="3" recordCount="0" supportSubquery="1" supportAdvancedDrill="1" xr:uid="{B56F246C-E8F7-4BB0-BA8D-34265A1DC248}">
  <cacheSource type="external" connectionId="1"/>
  <cacheFields count="3">
    <cacheField name="[Measures].[Count of Emp ID]" caption="Count of Emp ID" numFmtId="0" hierarchy="20" level="32767"/>
    <cacheField name="[Table1].[Department].[Department]" caption="Department" numFmtId="0" hierarchy="3" level="1">
      <sharedItems count="6">
        <s v="Finance"/>
        <s v="Human Resources"/>
        <s v="Information Technology"/>
        <s v="Marketing"/>
        <s v="Operations"/>
        <s v="Sales"/>
      </sharedItems>
    </cacheField>
    <cacheField name="[Table1].[Employment Status].[Employment Status]" caption="Employment Status" numFmtId="0" hierarchy="12" level="1">
      <sharedItems count="3">
        <s v="Active"/>
        <s v="Left"/>
        <s v="Resigned"/>
      </sharedItems>
    </cacheField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54513886" backgroundQuery="1" createdVersion="8" refreshedVersion="8" minRefreshableVersion="3" recordCount="0" supportSubquery="1" supportAdvancedDrill="1" xr:uid="{DD75F6FE-8B00-4EAC-AE06-286008EC320E}">
  <cacheSource type="external" connectionId="1"/>
  <cacheFields count="2">
    <cacheField name="[Table1].[Department].[Department]" caption="Department" numFmtId="0" hierarchy="3" level="1">
      <sharedItems count="1">
        <s v="Information Technology"/>
      </sharedItems>
    </cacheField>
    <cacheField name="[Measures].[Sum of Salary]" caption="Sum of Salary" numFmtId="0" hierarchy="17" level="32767"/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0" memberValueDatatype="130" unbalanced="0"/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56597225" backgroundQuery="1" createdVersion="8" refreshedVersion="8" minRefreshableVersion="3" recordCount="0" supportSubquery="1" supportAdvancedDrill="1" xr:uid="{801613B8-9561-43FE-B971-F9898E30017E}">
  <cacheSource type="external" connectionId="1"/>
  <cacheFields count="3">
    <cacheField name="[Measures].[Sum of Eligible Bonus Amount]" caption="Sum of Eligible Bonus Amount" numFmtId="0" hierarchy="23" level="32767"/>
    <cacheField name="[Table1].[Employment Status].[Employment Status]" caption="Employment Status" numFmtId="0" hierarchy="12" level="1">
      <sharedItems containsSemiMixedTypes="0" containsNonDate="0" containsString="0"/>
    </cacheField>
    <cacheField name="[Table1].[Department].[Department]" caption="Department" numFmtId="0" hierarchy="3" level="1">
      <sharedItems count="1">
        <s v="Information Technology"/>
      </sharedItems>
    </cacheField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58333334" backgroundQuery="1" createdVersion="8" refreshedVersion="8" minRefreshableVersion="3" recordCount="0" supportSubquery="1" supportAdvancedDrill="1" xr:uid="{E5639B06-7F8F-4427-B3AF-1F07EB3F406D}">
  <cacheSource type="external" connectionId="1"/>
  <cacheFields count="3">
    <cacheField name="[Table1].[Department].[Department]" caption="Department" numFmtId="0" hierarchy="3" level="1">
      <sharedItems count="6">
        <s v="Finance"/>
        <s v="Human Resources"/>
        <s v="Information Technology"/>
        <s v="Marketing"/>
        <s v="Operations"/>
        <s v="Sales"/>
      </sharedItems>
    </cacheField>
    <cacheField name="[Measures].[Count of Emp ID]" caption="Count of Emp ID" numFmtId="0" hierarchy="20" level="32767"/>
    <cacheField name="[Measures].[Average of Salary]" caption="Average of Salary" numFmtId="0" hierarchy="18" level="32767"/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0" memberValueDatatype="130" unbalanced="0"/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60416666" backgroundQuery="1" createdVersion="8" refreshedVersion="8" minRefreshableVersion="3" recordCount="0" supportSubquery="1" supportAdvancedDrill="1" xr:uid="{A1B52007-D5E6-4B63-9885-3ED388E884B2}">
  <cacheSource type="external" connectionId="1"/>
  <cacheFields count="2">
    <cacheField name="[Table1].[Department].[Department]" caption="Department" numFmtId="0" hierarchy="3" level="1">
      <sharedItems count="6">
        <s v="Finance"/>
        <s v="Human Resources"/>
        <s v="Information Technology"/>
        <s v="Marketing"/>
        <s v="Operations"/>
        <s v="Sales"/>
      </sharedItems>
    </cacheField>
    <cacheField name="[Measures].[Count of Emp ID]" caption="Count of Emp ID" numFmtId="0" hierarchy="20" level="32767"/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0" memberValueDatatype="130" unbalanced="0"/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62037037" backgroundQuery="1" createdVersion="8" refreshedVersion="8" minRefreshableVersion="3" recordCount="0" supportSubquery="1" supportAdvancedDrill="1" xr:uid="{21B514A6-47F4-41E3-850F-E76805987B76}">
  <cacheSource type="external" connectionId="1"/>
  <cacheFields count="1">
    <cacheField name="[Measures].[Count of Emp ID]" caption="Count of Emp ID" numFmtId="0" hierarchy="20" level="32767"/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0" memberValueDatatype="130" unbalanced="0"/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0" memberValueDatatype="130" unbalanced="0"/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64120369" backgroundQuery="1" createdVersion="8" refreshedVersion="8" minRefreshableVersion="3" recordCount="0" supportSubquery="1" supportAdvancedDrill="1" xr:uid="{7BF2834B-647A-41FF-AAE8-7B1E2B6C2D8B}">
  <cacheSource type="external" connectionId="1"/>
  <cacheFields count="3">
    <cacheField name="[Table1].[Department].[Department]" caption="Department" numFmtId="0" hierarchy="3" level="1">
      <sharedItems count="6">
        <s v="Finance"/>
        <s v="Human Resources"/>
        <s v="Information Technology"/>
        <s v="Marketing"/>
        <s v="Operations"/>
        <s v="Sales"/>
      </sharedItems>
    </cacheField>
    <cacheField name="[Measures].[Count of Emp ID]" caption="Count of Emp ID" numFmtId="0" hierarchy="20" level="32767"/>
    <cacheField name="[Table1].[Employment Status].[Employment Status]" caption="Employment Status" numFmtId="0" hierarchy="12" level="1">
      <sharedItems count="3">
        <s v="Active"/>
        <s v="Left"/>
        <s v="Resigned"/>
      </sharedItems>
    </cacheField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66203701" backgroundQuery="1" createdVersion="8" refreshedVersion="8" minRefreshableVersion="3" recordCount="0" supportSubquery="1" supportAdvancedDrill="1" xr:uid="{ECAA8C80-2C28-4410-97F6-9A62E4B857D6}">
  <cacheSource type="external" connectionId="1"/>
  <cacheFields count="2">
    <cacheField name="[Table1].[Employment Status].[Employment Status]" caption="Employment Status" numFmtId="0" hierarchy="12" level="1">
      <sharedItems count="2">
        <s v="Active"/>
        <s v="Left"/>
      </sharedItems>
    </cacheField>
    <cacheField name="[Measures].[Count of Emp ID]" caption="Count of Emp ID" numFmtId="0" hierarchy="20" level="32767"/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0" memberValueDatatype="130" unbalanced="0"/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68287041" backgroundQuery="1" createdVersion="8" refreshedVersion="8" minRefreshableVersion="3" recordCount="0" supportSubquery="1" supportAdvancedDrill="1" xr:uid="{8BCCD09E-3E85-4C2A-8CC1-2DD38B1DE479}">
  <cacheSource type="external" connectionId="1"/>
  <cacheFields count="3">
    <cacheField name="[Table1].[Employment Status].[Employment Status]" caption="Employment Status" numFmtId="0" hierarchy="12" level="1">
      <sharedItems count="2">
        <s v="Active"/>
        <s v="Left"/>
      </sharedItems>
    </cacheField>
    <cacheField name="[Measures].[Average of Perf_Score]" caption="Average of Perf_Score" numFmtId="0" hierarchy="22" level="32767"/>
    <cacheField name="[Table1].[Department].[Department]" caption="Department" numFmtId="0" hierarchy="3" level="1">
      <sharedItems count="2">
        <s v="Human Resources"/>
        <s v="Marketing"/>
      </sharedItems>
    </cacheField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4370138888" backgroundQuery="1" createdVersion="8" refreshedVersion="8" minRefreshableVersion="3" recordCount="0" supportSubquery="1" supportAdvancedDrill="1" xr:uid="{1203D714-8F01-4261-91D5-3ECD353D0C87}">
  <cacheSource type="external" connectionId="1"/>
  <cacheFields count="4">
    <cacheField name="[Table1].[Employment Status].[Employment Status]" caption="Employment Status" numFmtId="0" hierarchy="12" level="1">
      <sharedItems count="2">
        <s v="Active"/>
        <s v="Left"/>
      </sharedItems>
    </cacheField>
    <cacheField name="[Table1].[Department].[Department]" caption="Department" numFmtId="0" hierarchy="3" level="1">
      <sharedItems count="5">
        <s v="Human Resources"/>
        <s v="Information Technology"/>
        <s v="Marketing"/>
        <s v="Operations"/>
        <s v="Sales"/>
      </sharedItems>
    </cacheField>
    <cacheField name="[Table1].[Performance_Band].[Performance_Band]" caption="Performance_Band" numFmtId="0" hierarchy="9" level="1">
      <sharedItems count="5">
        <s v="Achieving"/>
        <s v="Developing"/>
        <s v="Exceeding"/>
        <s v="Needs Improvement"/>
        <s v="Outstanding"/>
      </sharedItems>
    </cacheField>
    <cacheField name="[Measures].[Sum of Eligible Bonus Amount]" caption="Sum of Eligible Bonus Amount" numFmtId="0" hierarchy="23" level="32767"/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0" memberValueDatatype="130" unbalanced="0"/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1.69504421296" backgroundQuery="1" createdVersion="8" refreshedVersion="8" minRefreshableVersion="3" recordCount="0" supportSubquery="1" supportAdvancedDrill="1" xr:uid="{328D8E5E-E847-48A1-98AE-B29B87943163}">
  <cacheSource type="external" connectionId="1"/>
  <cacheFields count="3">
    <cacheField name="[Table1].[Department].[Department]" caption="Department" numFmtId="0" hierarchy="3" level="1">
      <sharedItems count="1">
        <s v="Information Technology"/>
      </sharedItems>
    </cacheField>
    <cacheField name="[Table1].[Employment Year].[Employment Year]" caption="Employment Year" numFmtId="0" hierarchy="5" level="1">
      <sharedItems count="11">
        <s v="1921"/>
        <s v="1922"/>
        <s v="2015"/>
        <s v="2016"/>
        <s v="2017"/>
        <s v="2018"/>
        <s v="2019"/>
        <s v="2020"/>
        <s v="2021"/>
        <s v="2022"/>
        <s v="2023"/>
      </sharedItems>
    </cacheField>
    <cacheField name="[Measures].[Count of Emp ID]" caption="Count of Emp ID" numFmtId="0" hierarchy="20" level="32767"/>
  </cacheFields>
  <cacheHierarchies count="29">
    <cacheHierarchy uniqueName="[Table1].[Emp ID]" caption="Emp ID" attribute="1" defaultMemberUniqueName="[Table1].[Emp ID].[All]" allUniqueName="[Table1].[Emp ID].[All]" dimensionUniqueName="[Table1]" displayFolder="" count="0" memberValueDatatype="130" unbalanced="0"/>
    <cacheHierarchy uniqueName="[Table1].[Full_Name]" caption="Full_Name" attribute="1" defaultMemberUniqueName="[Table1].[Full_Name].[All]" allUniqueName="[Table1].[Full_Name].[All]" dimensionUniqueName="[Table1]" displayFolder="" count="0" memberValueDatatype="130" unbalanced="0"/>
    <cacheHierarchy uniqueName="[Table1].[Dept_Code]" caption="Dept_Code" attribute="1" defaultMemberUniqueName="[Table1].[Dept_Code].[All]" allUniqueName="[Table1].[Dept_Code].[All]" dimensionUniqueName="[Table1]" displayFolder="" count="0" memberValueDatatype="130" unbalanced="0"/>
    <cacheHierarchy uniqueName="[Table1].[Department]" caption="Department" attribute="1" defaultMemberUniqueName="[Table1].[Department].[All]" allUniqueName="[Table1].[Departmen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Hire Date]" caption="Hire Date" attribute="1" defaultMemberUniqueName="[Table1].[Hire Date].[All]" allUniqueName="[Table1].[Hire Date].[All]" dimensionUniqueName="[Table1]" displayFolder="" count="0" memberValueDatatype="130" unbalanced="0"/>
    <cacheHierarchy uniqueName="[Table1].[Employment Year]" caption="Employment Year" attribute="1" defaultMemberUniqueName="[Table1].[Employment Year].[All]" allUniqueName="[Table1].[Employment Year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Salary]" caption="Salary" attribute="1" defaultMemberUniqueName="[Table1].[Salary].[All]" allUniqueName="[Table1].[Salary].[All]" dimensionUniqueName="[Table1]" displayFolder="" count="0" memberValueDatatype="20" unbalanced="0"/>
    <cacheHierarchy uniqueName="[Table1].[Perf_Score]" caption="Perf_Score" attribute="1" defaultMemberUniqueName="[Table1].[Perf_Score].[All]" allUniqueName="[Table1].[Perf_Score].[All]" dimensionUniqueName="[Table1]" displayFolder="" count="0" memberValueDatatype="20" unbalanced="0"/>
    <cacheHierarchy uniqueName="[Table1].[Years of Service]" caption="Years of Service" attribute="1" defaultMemberUniqueName="[Table1].[Years of Service].[All]" allUniqueName="[Table1].[Years of Service].[All]" dimensionUniqueName="[Table1]" displayFolder="" count="0" memberValueDatatype="20" unbalanced="0"/>
    <cacheHierarchy uniqueName="[Table1].[Performance_Band]" caption="Performance_Band" attribute="1" defaultMemberUniqueName="[Table1].[Performance_Band].[All]" allUniqueName="[Table1].[Performance_Band].[All]" dimensionUniqueName="[Table1]" displayFolder="" count="0" memberValueDatatype="130" unbalanced="0"/>
    <cacheHierarchy uniqueName="[Table1].[Bonus_Percentage]" caption="Bonus_Percentage" attribute="1" defaultMemberUniqueName="[Table1].[Bonus_Percentage].[All]" allUniqueName="[Table1].[Bonus_Percentage].[All]" dimensionUniqueName="[Table1]" displayFolder="" count="0" memberValueDatatype="5" unbalanced="0"/>
    <cacheHierarchy uniqueName="[Table1].[Eligible Bonus Amount]" caption="Eligible Bonus Amount" attribute="1" defaultMemberUniqueName="[Table1].[Eligible Bonus Amount].[All]" allUniqueName="[Table1].[Eligible Bonus Amount].[All]" dimensionUniqueName="[Table1]" displayFolder="" count="0" memberValueDatatype="5" unbalanced="0"/>
    <cacheHierarchy uniqueName="[Table1].[Employment Status]" caption="Employment Status" attribute="1" defaultMemberUniqueName="[Table1].[Employment Status].[All]" allUniqueName="[Table1].[Employment Status].[All]" dimensionUniqueName="[Table1]" displayFolder="" count="0" memberValueDatatype="130" unbalanced="0"/>
    <cacheHierarchy uniqueName="[Table1].[Column2]" caption="Column2" attribute="1" defaultMemberUniqueName="[Table1].[Column2].[All]" allUniqueName="[Table1].[Column2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Full_Name]" caption="Count of Full_Name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]" caption="Sum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Salary]" caption="Average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Employment Status]" caption="Count of Employment Status" measure="1" displayFolder="" measureGroup="Table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Emp ID]" caption="Count of Emp I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Perf_Score]" caption="Sum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Perf_Score]" caption="Average of Perf_Score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Eligible Bonus Amount]" caption="Sum of Eligible Bonus Amount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Department]" caption="Count of Departmen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Hire Date]" caption="Count of Hire Date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Dept_Code]" caption="Count of Dept_Code" measure="1" displayFolder="" measureGroup="Table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ax of Salary]" caption="Max of Salary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erformance_Band]" caption="Count of Performance_Band" measure="1" displayFolder="" measureGroup="Table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50A1D-7F94-422B-8642-B9E7E6F9C32F}" name="PivotTable1" cacheId="216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rowHeaderCaption="Department">
  <location ref="I3:J15" firstHeaderRow="1" firstDataRow="1" firstDataCol="1"/>
  <pivotFields count="3">
    <pivotField allDrilled="1" subtotalTop="0" showAll="0" measureFilter="1" dataSourceSort="1" defaultSubtotal="0" defaultAttributeDrillState="1">
      <items count="1">
        <item x="0"/>
      </items>
    </pivotField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subtotalTop="0" showAll="0" defaultSubtota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Emp ID" fld="2" subtotal="count" baseField="1" baseItem="0"/>
  </dataFields>
  <formats count="1">
    <format dxfId="1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Highest Salary"/>
    <pivotHierarchy dragToData="1" caption="Average of Salar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x of Salary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17">
      <autoFilter ref="A1">
        <filterColumn colId="0">
          <top10 val="1" filterVal="1"/>
        </filterColumn>
      </autoFilter>
    </filter>
  </filters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94EDF-BB32-4072-A468-A870E5CB1728}" name="PivotTable5" cacheId="198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rowHeaderCaption="Department">
  <location ref="E46:F52" firstHeaderRow="1" firstDataRow="1" firstDataCol="1"/>
  <pivotFields count="4">
    <pivotField allDrilled="1" subtotalTop="0" showAll="0" dataSourceSort="1" defaultSubtotal="0" defaultAttributeDrillState="1">
      <items count="2">
        <item s="1" x="0"/>
        <item s="1" x="1"/>
      </items>
    </pivotField>
    <pivotField allDrilled="1" subtotalTop="0" showAll="0" measureFilter="1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Eligible Bonus Amount" fld="3" baseField="0" baseItem="0"/>
  </dataFields>
  <formats count="1">
    <format dxfId="8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/>
    <pivotHierarchy dragToData="1"/>
    <pivotHierarchy dragToData="1" caption="HIghest Performance Scor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5" iMeasureHier="22">
      <autoFilter ref="A1">
        <filterColumn colId="0">
          <top10 val="6" filterVal="6"/>
        </filterColumn>
      </autoFilter>
    </filter>
  </filters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32D8EA-6DA7-4FE6-943C-22F212D7219B}" name="PivotTable17" cacheId="195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>
  <location ref="B43:C46" firstHeaderRow="1" firstDataRow="1" firstDataCol="1"/>
  <pivotFields count="3">
    <pivotField allDrilled="1" subtotalTop="0" showAll="0" dataSourceSort="1" defaultSubtotal="0" defaultAttributeDrillState="1">
      <items count="2">
        <item s="1" x="0"/>
        <item s="1" x="1"/>
      </items>
    </pivotField>
    <pivotField dataField="1" subtotalTop="0" showAll="0" defaultSubtotal="0"/>
    <pivotField axis="axisRow" allDrilled="1" subtotalTop="0" showAll="0" measureFilter="1" dataSourceSort="1" defaultSubtotal="0" defaultAttributeDrillState="1">
      <items count="2">
        <item x="0"/>
        <item x="1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Avg. Performance Score" fld="1" subtotal="average" baseField="2" baseItem="1" numFmtId="168"/>
  </dataFields>
  <formats count="2">
    <format dxfId="90">
      <pivotArea outline="0" collapsedLevelsAreSubtotals="1" fieldPosition="0"/>
    </format>
    <format dxfId="89">
      <pivotArea outline="0" fieldPosition="0">
        <references count="1">
          <reference field="4294967294" count="1">
            <x v="0"/>
          </reference>
        </references>
      </pivotArea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/>
    <pivotHierarchy dragToData="1"/>
    <pivotHierarchy dragToData="1" caption="Avg. Performance Scor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count" id="1" iMeasureHier="22">
      <autoFilter ref="A1">
        <filterColumn colId="0">
          <top10 val="2" filterVal="2"/>
        </filterColumn>
      </autoFilter>
    </filter>
  </filters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DF9E6-078B-457A-8AEE-0F665605BCE6}" name="PivotTable27" cacheId="19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rowHeaderCaption="Employment Status">
  <location ref="B20:C23" firstHeaderRow="1" firstDataRow="1" firstDataCol="1"/>
  <pivotFields count="2">
    <pivotField axis="axisRow" allDrilled="1" subtotalTop="0" showAll="0" dataSourceSort="1" defaultSubtotal="0" defaultAttributeDrillState="1">
      <items count="2">
        <item s="1" x="0"/>
        <item s="1"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Headcounts" fld="1" subtotal="count" baseField="0" baseItem="0"/>
  </dataFields>
  <formats count="1">
    <format dxfId="91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 caption="Headcoun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4F5826-E9D9-4D11-942A-8E37E36F925A}" name="PivotTable8" cacheId="189" applyNumberFormats="0" applyBorderFormats="0" applyFontFormats="0" applyPatternFormats="0" applyAlignmentFormats="0" applyWidthHeightFormats="1" dataCaption="Values" updatedVersion="8" minRefreshableVersion="3" useAutoFormatting="1" subtotalHiddenItems="1" rowGrandTotals="0" itemPrintTitles="1" createdVersion="8" indent="0" outline="1" outlineData="1" chartFormat="1">
  <location ref="G28:K35" firstHeaderRow="1" firstDataRow="2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Emp ID" fld="1" subtotal="count" showDataAs="percentOfRow" baseField="0" baseItem="0" numFmtId="10"/>
  </dataFields>
  <formats count="2">
    <format dxfId="93">
      <pivotArea outline="0" collapsedLevelsAreSubtotals="1" fieldPosition="0"/>
    </format>
    <format dxfId="92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AEFFE-3A46-4C14-80EE-74E3083B7796}" name="PivotTable7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s">
  <location ref="B3:B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Count of Emp ID" fld="0" subtotal="count" baseField="0" baseItem="0"/>
  </dataFields>
  <formats count="2">
    <format dxfId="95">
      <pivotArea outline="0" collapsedLevelsAreSubtotals="1" fieldPosition="0"/>
    </format>
    <format dxfId="9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A7223-9AA9-4E79-B424-2854B93E450B}" name="PivotTable14" cacheId="18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rowHeaderCaption="Departments">
  <location ref="B8:C15" firstHeaderRow="1" firstDataRow="1" firstDataCol="1"/>
  <pivotFields count="2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No. of Headcount" fld="1" subtotal="count" baseField="0" baseItem="0"/>
  </dataFields>
  <formats count="1">
    <format dxfId="96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 caption="No. of Head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31AC2-65BD-4A73-8450-2C133443F959}" name="PivotTable10" cacheId="18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rowHeaderCaption="Departments">
  <location ref="E8:G15" firstHeaderRow="0" firstDataRow="1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No. of Headcount" fld="1" subtotal="count" baseField="0" baseItem="0"/>
    <dataField name="Average of Salary" fld="2" subtotal="average" baseField="0" baseItem="2"/>
  </dataFields>
  <formats count="2">
    <format dxfId="98">
      <pivotArea outline="0" collapsedLevelsAreSubtotals="1" fieldPosition="0"/>
    </format>
    <format dxfId="9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 caption="No. of Head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B7108E-F4D9-456A-80C5-B00CA6B755DB}" name="PivotTable16" cacheId="177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rowHeaderCaption="Performance">
  <location ref="B65:C67" firstHeaderRow="1" firstDataRow="1" firstDataCol="1"/>
  <pivotFields count="3">
    <pivotField dataField="1" subtotalTop="0" showAll="0" defaultSubtotal="0"/>
    <pivotField allDrilled="1" subtotalTop="0" showAll="0" dataSourceSort="1" defaultSubtotal="0" defaultAttributeDrillState="1"/>
    <pivotField axis="axisRow" allDrilled="1" subtotalTop="0" showAll="0" measureFilter="1" dataSourceSort="1" defaultSubtotal="0" defaultAttributeDrillState="1">
      <items count="1">
        <item x="0"/>
      </items>
    </pivotField>
  </pivotFields>
  <rowFields count="1">
    <field x="2"/>
  </rowFields>
  <rowItems count="2">
    <i>
      <x/>
    </i>
    <i t="grand">
      <x/>
    </i>
  </rowItems>
  <colItems count="1">
    <i/>
  </colItems>
  <dataFields count="1">
    <dataField name="HIghest Bonus Amount" fld="0" baseField="2" baseItem="0" numFmtId="167"/>
  </dataFields>
  <formats count="1">
    <format dxfId="99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Table1].[Employment Status].&amp;[Active]"/>
        <member name=""/>
      </members>
    </pivotHierarchy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/>
    <pivotHierarchy dragToData="1"/>
    <pivotHierarchy dragToData="1" caption="Average of Perf_Score"/>
    <pivotHierarchy dragToData="1" caption="HIghest Bonus Amount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count" id="1" iMeasureHier="23">
      <autoFilter ref="A1">
        <filterColumn colId="0">
          <top10 val="1" filterVal="1"/>
        </filterColumn>
      </autoFilter>
    </filter>
  </filters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A0D771-22E9-4855-9BF3-0D2CF6F03595}" name="PivotTable23" cacheId="174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rowHeaderCaption="Department">
  <location ref="F3:G5" firstHeaderRow="1" firstDataRow="1" firstDataCol="1"/>
  <pivotFields count="2">
    <pivotField axis="axisRow" allDrilled="1" subtotalTop="0" showAll="0" measureFilter="1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rowItems count="2">
    <i>
      <x/>
    </i>
    <i t="grand">
      <x/>
    </i>
  </rowItems>
  <colItems count="1">
    <i/>
  </colItems>
  <dataFields count="1">
    <dataField name="Highest Salary" fld="1" baseField="0" baseItem="0" numFmtId="169"/>
  </dataFields>
  <formats count="1">
    <format dxfId="100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Highest Salary"/>
    <pivotHierarchy dragToData="1" caption="Average of Salar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x of Salary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17">
      <autoFilter ref="A1">
        <filterColumn colId="0">
          <top10 val="1" filterVal="1"/>
        </filterColumn>
      </autoFilter>
    </filter>
  </filters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7E04FD-27BA-4800-A992-DB5CEFDFA501}" name="PivotTable3" cacheId="171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>
  <location ref="B28:E36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>
      <x v="2"/>
    </i>
  </colItems>
  <dataFields count="1">
    <dataField name="Count of Emp ID" fld="0" subtotal="count" baseField="1" baseItem="5"/>
  </dataFields>
  <formats count="2">
    <format dxfId="102">
      <pivotArea outline="0" collapsedLevelsAreSubtotals="1" fieldPosition="0"/>
    </format>
    <format dxfId="101">
      <pivotArea outline="0" fieldPosition="0">
        <references count="1">
          <reference field="4294967294" count="1">
            <x v="0"/>
          </reference>
        </references>
      </pivotArea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920363-F053-4B21-A047-4E90C9F16243}" name="PivotTable6" cacheId="165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>
  <location ref="B62:B6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Total Bonus Amount" fld="0" baseField="0" baseItem="0" numFmtId="167"/>
  </dataFields>
  <formats count="1">
    <format dxfId="104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Table1].[Employment Status].&amp;[Active]"/>
        <member name=""/>
      </members>
    </pivotHierarchy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/>
    <pivotHierarchy dragToData="1"/>
    <pivotHierarchy dragToData="1" caption="Average of Perf_Score"/>
    <pivotHierarchy dragToData="1" caption="Total Bonus Amount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4697C-E80E-4321-B3D1-96BF230BFB86}" name="PivotTable11" cacheId="162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rowHeaderCaption="Performance">
  <location ref="E62:F68" firstHeaderRow="1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Bonus Amount" fld="1" baseField="0" baseItem="0" numFmtId="167"/>
  </dataFields>
  <formats count="1">
    <format dxfId="105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Table1].[Employment Status].&amp;[Active]"/>
        <member name=""/>
      </members>
    </pivotHierarchy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/>
    <pivotHierarchy dragToData="1"/>
    <pivotHierarchy dragToData="1" caption="Average of Perf_Score"/>
    <pivotHierarchy dragToData="1" caption="Bonus Amount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529781-F43E-4CF7-8D8A-36B5B009D77C}" name="PivotTable12" cacheId="15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rowHeaderCaption="Departments">
  <location ref="D3:D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Salary" fld="0" baseField="0" baseItem="0" numFmtId="169"/>
  </dataFields>
  <formats count="1">
    <format dxfId="106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A6AC11-372E-4BFC-99D1-B6C58ABF8677}" name="PivotTable19" cacheId="156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multipleFieldFilters="0" rowHeaderCaption="Departments" colHeaderCaption="No. of Headcounts">
  <location ref="H20:I23" firstHeaderRow="1" firstDataRow="2" firstDataCol="1"/>
  <pivotFields count="3">
    <pivotField axis="axisRow" allDrilled="1" subtotalTop="0" showAll="0" measureFilter="1" defaultSubtotal="0" defaultAttributeDrillState="1">
      <items count="1">
        <item x="0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</pivotFields>
  <rowFields count="1">
    <field x="0"/>
  </rowFields>
  <rowItems count="2">
    <i>
      <x/>
    </i>
    <i t="grand">
      <x/>
    </i>
  </rowItems>
  <colFields count="1">
    <field x="1"/>
  </colFields>
  <colItems count="1">
    <i>
      <x/>
    </i>
  </colItems>
  <dataFields count="1">
    <dataField name="Department with highest" fld="2" subtotal="count" baseField="0" baseItem="0"/>
  </dataFields>
  <formats count="2">
    <format dxfId="108">
      <pivotArea outline="0" collapsedLevelsAreSubtotals="1" fieldPosition="0"/>
    </format>
    <format dxfId="107">
      <pivotArea dataOnly="0" labelOnly="1" fieldPosition="0">
        <references count="1">
          <reference field="1" count="0"/>
        </references>
      </pivotArea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 caption="Department with highes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4" iMeasureHier="20">
      <autoFilter ref="A1">
        <filterColumn colId="0">
          <top10 val="1" filterVal="1"/>
        </filterColumn>
      </autoFilter>
    </filter>
  </filters>
  <rowHierarchiesUsage count="1">
    <rowHierarchyUsage hierarchyUsage="3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66D40C-D108-4C7E-A22C-C493AF338D26}" name="PivotTable30" cacheId="153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>
  <location ref="B49:C56" firstHeaderRow="1" firstDataRow="1" firstDataCol="1"/>
  <pivotFields count="3">
    <pivotField allDrilled="1" subtotalTop="0" showAll="0" dataSourceSort="1" defaultSubtotal="0" defaultAttributeDrillState="1">
      <items count="2">
        <item s="1" x="0"/>
        <item s="1"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g. Performance Score" fld="1" subtotal="average" baseField="2" baseItem="1" numFmtId="168"/>
  </dataFields>
  <formats count="2">
    <format dxfId="110">
      <pivotArea outline="0" collapsedLevelsAreSubtotals="1" fieldPosition="0"/>
    </format>
    <format dxfId="109">
      <pivotArea outline="0" fieldPosition="0">
        <references count="1">
          <reference field="4294967294" count="1">
            <x v="0"/>
          </reference>
        </references>
      </pivotArea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/>
    <pivotHierarchy dragToData="1"/>
    <pivotHierarchy dragToData="1" caption="Avg. Performance Scor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EC24EB-7388-414B-926C-6AA9C050044A}" name="PivotTable21" cacheId="150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multipleFieldFilters="0" rowHeaderCaption="Departments" colHeaderCaption="No. of Headcounts">
  <location ref="E20:F24" firstHeaderRow="1" firstDataRow="2" firstDataCol="1"/>
  <pivotFields count="3">
    <pivotField axis="axisRow" allDrilled="1" subtotalTop="0" showAll="0" measureFilter="1" dataSourceSort="1" defaultSubtotal="0" defaultAttributeDrillState="1">
      <items count="2">
        <item x="0"/>
        <item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1">
    <i>
      <x/>
    </i>
  </colItems>
  <dataFields count="1">
    <dataField name="Department with highest" fld="2" subtotal="count" baseField="0" baseItem="0"/>
  </dataFields>
  <formats count="2">
    <format dxfId="112">
      <pivotArea outline="0" collapsedLevelsAreSubtotals="1" fieldPosition="0"/>
    </format>
    <format dxfId="111">
      <pivotArea dataOnly="0" labelOnly="1" fieldPosition="0">
        <references count="1">
          <reference field="1" count="0"/>
        </references>
      </pivotArea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"/>
    <pivotHierarchy dragToData="1"/>
    <pivotHierarchy dragToData="1" caption="Department with highes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20">
      <autoFilter ref="A1">
        <filterColumn colId="0">
          <top10 val="2" filterVal="2"/>
        </filterColumn>
      </autoFilter>
    </filter>
  </filters>
  <rowHierarchiesUsage count="1">
    <rowHierarchyUsage hierarchyUsage="3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R_Analytics_Capstone_Raw_Data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3EEC41-A2F0-4C7D-A63C-D8DBE1034134}" name="Table1" displayName="Table1" ref="A1:N151" totalsRowShown="0" headerRowDxfId="121" headerRowBorderDxfId="120" tableBorderDxfId="119">
  <autoFilter ref="A1:N151" xr:uid="{603EEC41-A2F0-4C7D-A63C-D8DBE1034134}"/>
  <tableColumns count="14">
    <tableColumn id="1" xr3:uid="{1B6FA7B5-CED2-4223-82B1-6B09A1834E23}" name="Emp ID"/>
    <tableColumn id="2" xr3:uid="{33867DC6-62E4-4BB2-A0B1-AEBB549334EB}" name="Full_Name"/>
    <tableColumn id="3" xr3:uid="{1A10C7E1-8787-4930-8AD7-77F00AE278D6}" name="Dept_Code"/>
    <tableColumn id="4" xr3:uid="{EA5C6AF0-738C-45F0-A2C8-79519B148E29}" name="Department">
      <calculatedColumnFormula>_xlfn.XLOOKUP(C2,Lookup_Departments!$A$2:$A$7,Lookup_Departments!$B$2:$B$7,"Invalid Dept_Code",0)</calculatedColumnFormula>
    </tableColumn>
    <tableColumn id="5" xr3:uid="{4C7B6CC3-FE7D-48AA-BE39-94F73E53D2E2}" name="Hire Date  " dataDxfId="87"/>
    <tableColumn id="13" xr3:uid="{03AE09DF-871E-4FB3-A3A6-4B30FA937C4C}" name="Employment Year" dataDxfId="86">
      <calculatedColumnFormula>TEXT(Table1[[#This Row],[Hire Date  ]],"yyyy")</calculatedColumnFormula>
    </tableColumn>
    <tableColumn id="6" xr3:uid="{DEEA939E-8726-4545-8769-7F8DD7CDD573}" name="Salary      " dataDxfId="118"/>
    <tableColumn id="7" xr3:uid="{D52FBF83-D1AE-48D0-8F10-D8AC63466692}" name="Perf_Score         "/>
    <tableColumn id="8" xr3:uid="{F39033C1-4EA4-4EE4-968A-D38B8BBFB31F}" name="Years of Service" dataDxfId="117">
      <calculatedColumnFormula>DATEDIF(E2,TODAY(),"Y")</calculatedColumnFormula>
    </tableColumn>
    <tableColumn id="9" xr3:uid="{33869848-914B-488B-8076-35FC3F9DDBE2}" name="Performance_Band" dataDxfId="116">
      <calculatedColumnFormula array="1">_xlfn.IFS(H2&lt;=49,"Needs Improvement",H2&lt;=69,"Developing",H2&lt;=84,"Achieving",H2&lt;=94,"Exceeding",H2&lt;=100,"Outstanding")</calculatedColumnFormula>
    </tableColumn>
    <tableColumn id="10" xr3:uid="{363690D6-0E5D-4A78-9D1B-78852674CC4F}" name="Bonus_Percentage" dataDxfId="115">
      <calculatedColumnFormula>_xlfn.XLOOKUP(J2,Lookup_Performance!$C$2:$C$6,Lookup_Performance!$D$2:$D$6,"N/A",0)</calculatedColumnFormula>
    </tableColumn>
    <tableColumn id="11" xr3:uid="{99DC8CC9-1937-403A-9DBE-B00FB9140151}" name="Eligible Bonus Amount   " dataDxfId="114">
      <calculatedColumnFormula>G2*K2</calculatedColumnFormula>
    </tableColumn>
    <tableColumn id="12" xr3:uid="{33D7975D-5048-4F66-8F4B-202DE058F051}" name="Employment Status"/>
    <tableColumn id="14" xr3:uid="{B5292326-1359-4F2E-9AD3-DF6931070490}" name="Column2" dataDxfId="113">
      <calculatedColumnFormula>TRIM(CLEAN(Table1[[#This Row],[Employment Status]]))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1"/>
  <sheetViews>
    <sheetView zoomScale="80" zoomScaleNormal="80" workbookViewId="0">
      <selection activeCell="F2" sqref="F2"/>
    </sheetView>
  </sheetViews>
  <sheetFormatPr defaultColWidth="10.28515625" defaultRowHeight="15" x14ac:dyDescent="0.25"/>
  <cols>
    <col min="1" max="1" width="11.7109375" bestFit="1" customWidth="1"/>
    <col min="2" max="2" width="18.28515625" bestFit="1" customWidth="1"/>
    <col min="3" max="3" width="15.42578125" bestFit="1" customWidth="1"/>
    <col min="4" max="4" width="22.5703125" bestFit="1" customWidth="1"/>
    <col min="5" max="5" width="11.5703125" style="2" bestFit="1" customWidth="1"/>
    <col min="6" max="6" width="17.140625" style="2" bestFit="1" customWidth="1"/>
    <col min="7" max="7" width="9.28515625" style="8" customWidth="1"/>
    <col min="8" max="8" width="15.140625" bestFit="1" customWidth="1"/>
    <col min="9" max="9" width="19.7109375" style="4" bestFit="1" customWidth="1"/>
    <col min="10" max="10" width="22.7109375" style="6" bestFit="1" customWidth="1"/>
    <col min="11" max="11" width="22.28515625" style="6" bestFit="1" customWidth="1"/>
    <col min="12" max="12" width="23.42578125" style="6" customWidth="1"/>
    <col min="13" max="13" width="23" bestFit="1" customWidth="1"/>
    <col min="16" max="16" width="10.7109375" bestFit="1" customWidth="1"/>
  </cols>
  <sheetData>
    <row r="1" spans="1:16" x14ac:dyDescent="0.25">
      <c r="A1" s="9" t="s">
        <v>0</v>
      </c>
      <c r="B1" s="9" t="s">
        <v>196</v>
      </c>
      <c r="C1" s="9" t="s">
        <v>179</v>
      </c>
      <c r="D1" s="9" t="s">
        <v>306</v>
      </c>
      <c r="E1" s="10" t="s">
        <v>308</v>
      </c>
      <c r="F1" s="10" t="s">
        <v>335</v>
      </c>
      <c r="G1" s="11" t="s">
        <v>309</v>
      </c>
      <c r="H1" s="9" t="s">
        <v>320</v>
      </c>
      <c r="I1" s="12" t="s">
        <v>307</v>
      </c>
      <c r="J1" s="12" t="s">
        <v>189</v>
      </c>
      <c r="K1" s="12" t="s">
        <v>190</v>
      </c>
      <c r="L1" s="12" t="s">
        <v>310</v>
      </c>
      <c r="M1" s="9" t="s">
        <v>1</v>
      </c>
      <c r="N1" s="12" t="s">
        <v>319</v>
      </c>
    </row>
    <row r="2" spans="1:16" x14ac:dyDescent="0.25">
      <c r="A2" t="s">
        <v>2</v>
      </c>
      <c r="B2" t="s">
        <v>197</v>
      </c>
      <c r="C2" t="s">
        <v>3</v>
      </c>
      <c r="D2" t="str">
        <f>_xlfn.XLOOKUP(C2,Lookup_Departments!$A$2:$A$7,Lookup_Departments!$B$2:$B$7,"Invalid Dept_Code",0)</f>
        <v>Information Technology</v>
      </c>
      <c r="E2" s="25">
        <v>43093</v>
      </c>
      <c r="F2" s="2" t="str">
        <f>TEXT(Table1[[#This Row],[Hire Date  ]],"yyyy")</f>
        <v>2017</v>
      </c>
      <c r="G2" s="8">
        <v>50361</v>
      </c>
      <c r="H2">
        <v>52</v>
      </c>
      <c r="I2" s="4">
        <f ca="1">DATEDIF(E2,TODAY(),"Y")</f>
        <v>8</v>
      </c>
      <c r="J2" s="6" t="str" cm="1">
        <f t="array" ref="J2">_xlfn.IFS(H2&lt;=49,"Needs Improvement",H2&lt;=69,"Developing",H2&lt;=84,"Achieving",H2&lt;=94,"Exceeding",H2&lt;=100,"Outstanding")</f>
        <v>Developing</v>
      </c>
      <c r="K2" s="6">
        <f>_xlfn.XLOOKUP(J2,Lookup_Performance!$C$2:$C$6,Lookup_Performance!$D$2:$D$6,"N/A",0)</f>
        <v>0.02</v>
      </c>
      <c r="L2" s="7">
        <f>G2*K2</f>
        <v>1007.22</v>
      </c>
      <c r="M2" t="s">
        <v>18</v>
      </c>
      <c r="N2" t="str">
        <f>TRIM(CLEAN(Table1[[#This Row],[Employment Status]]))</f>
        <v>Active</v>
      </c>
    </row>
    <row r="3" spans="1:16" x14ac:dyDescent="0.25">
      <c r="A3" t="s">
        <v>4</v>
      </c>
      <c r="B3" t="s">
        <v>198</v>
      </c>
      <c r="C3" t="s">
        <v>5</v>
      </c>
      <c r="D3" t="str">
        <f>_xlfn.XLOOKUP(C3,Lookup_Departments!$A$2:$A$7,Lookup_Departments!$B$2:$B$7,"Invalid Dept_Code",0)</f>
        <v>Marketing</v>
      </c>
      <c r="E3" s="25">
        <v>44659</v>
      </c>
      <c r="F3" s="2" t="str">
        <f>TEXT(Table1[[#This Row],[Hire Date  ]],"yyyy")</f>
        <v>2022</v>
      </c>
      <c r="G3" s="8">
        <v>112673</v>
      </c>
      <c r="H3">
        <v>68</v>
      </c>
      <c r="I3" s="4">
        <f ca="1">DATEDIF(E3,TODAY(),"Y")</f>
        <v>4</v>
      </c>
      <c r="J3" s="6" t="str" cm="1">
        <f t="array" ref="J3">_xlfn.IFS(H3&lt;=49,"Needs Improvement",H3&lt;=69,"Developing",H3&lt;=84,"Achieving",H3&lt;=94,"Exceeding",H3&lt;=100,"Outstanding")</f>
        <v>Developing</v>
      </c>
      <c r="K3" s="6">
        <f>_xlfn.XLOOKUP(J3,Lookup_Performance!$C$2:$C$6,Lookup_Performance!$D$2:$D$6,"N/A",0)</f>
        <v>0.02</v>
      </c>
      <c r="L3" s="7">
        <f t="shared" ref="L3:L66" si="0">G3*K3</f>
        <v>2253.46</v>
      </c>
      <c r="M3" t="s">
        <v>18</v>
      </c>
      <c r="N3" s="5" t="str">
        <f>TRIM(CLEAN(Table1[[#This Row],[Employment Status]]))</f>
        <v>Active</v>
      </c>
      <c r="O3" s="3"/>
      <c r="P3" s="19"/>
    </row>
    <row r="4" spans="1:16" x14ac:dyDescent="0.25">
      <c r="A4" t="s">
        <v>6</v>
      </c>
      <c r="B4" t="s">
        <v>199</v>
      </c>
      <c r="C4" t="s">
        <v>3</v>
      </c>
      <c r="D4" t="str">
        <f>_xlfn.XLOOKUP(C4,Lookup_Departments!$A$2:$A$7,Lookup_Departments!$B$2:$B$7,"Invalid Dept_Code",0)</f>
        <v>Information Technology</v>
      </c>
      <c r="E4" s="25">
        <v>42431</v>
      </c>
      <c r="F4" s="2" t="str">
        <f>TEXT(Table1[[#This Row],[Hire Date  ]],"yyyy")</f>
        <v>2016</v>
      </c>
      <c r="G4" s="8">
        <v>114425</v>
      </c>
      <c r="H4">
        <v>54</v>
      </c>
      <c r="I4" s="4">
        <f ca="1">DATEDIF(E4,TODAY(),"Y")</f>
        <v>10</v>
      </c>
      <c r="J4" s="6" t="str" cm="1">
        <f t="array" ref="J4">_xlfn.IFS(H4&lt;=49,"Needs Improvement",H4&lt;=69,"Developing",H4&lt;=84,"Achieving",H4&lt;=94,"Exceeding",H4&lt;=100,"Outstanding")</f>
        <v>Developing</v>
      </c>
      <c r="K4" s="6">
        <f>_xlfn.XLOOKUP(J4,Lookup_Performance!$C$2:$C$6,Lookup_Performance!$D$2:$D$6,"N/A",0)</f>
        <v>0.02</v>
      </c>
      <c r="L4" s="7">
        <f t="shared" si="0"/>
        <v>2288.5</v>
      </c>
      <c r="M4" t="s">
        <v>10</v>
      </c>
      <c r="N4" t="str">
        <f>TRIM(CLEAN(Table1[[#This Row],[Employment Status]]))</f>
        <v>Left</v>
      </c>
    </row>
    <row r="5" spans="1:16" x14ac:dyDescent="0.25">
      <c r="A5" t="s">
        <v>7</v>
      </c>
      <c r="B5" t="s">
        <v>200</v>
      </c>
      <c r="C5" t="s">
        <v>8</v>
      </c>
      <c r="D5" t="str">
        <f>_xlfn.XLOOKUP(C5,Lookup_Departments!$A$2:$A$7,Lookup_Departments!$B$2:$B$7,"Invalid Dept_Code",0)</f>
        <v>Finance</v>
      </c>
      <c r="E5" s="25">
        <v>45110</v>
      </c>
      <c r="F5" s="2" t="str">
        <f>TEXT(Table1[[#This Row],[Hire Date  ]],"yyyy")</f>
        <v>2023</v>
      </c>
      <c r="G5" s="8">
        <v>103831</v>
      </c>
      <c r="H5">
        <v>70</v>
      </c>
      <c r="I5" s="4">
        <f ca="1">DATEDIF(E5,TODAY(),"Y")</f>
        <v>3</v>
      </c>
      <c r="J5" s="6" t="str" cm="1">
        <f t="array" ref="J5">_xlfn.IFS(H5&lt;=49,"Needs Improvement",H5&lt;=69,"Developing",H5&lt;=84,"Achieving",H5&lt;=94,"Exceeding",H5&lt;=100,"Outstanding")</f>
        <v>Achieving</v>
      </c>
      <c r="K5" s="6">
        <f>_xlfn.XLOOKUP(J5,Lookup_Performance!$C$2:$C$6,Lookup_Performance!$D$2:$D$6,"N/A",0)</f>
        <v>0.05</v>
      </c>
      <c r="L5" s="7">
        <f t="shared" si="0"/>
        <v>5191.55</v>
      </c>
      <c r="M5" t="s">
        <v>18</v>
      </c>
      <c r="N5" t="str">
        <f>TRIM(CLEAN(Table1[[#This Row],[Employment Status]]))</f>
        <v>Active</v>
      </c>
    </row>
    <row r="6" spans="1:16" x14ac:dyDescent="0.25">
      <c r="A6" t="s">
        <v>9</v>
      </c>
      <c r="B6" t="s">
        <v>201</v>
      </c>
      <c r="C6" t="s">
        <v>3</v>
      </c>
      <c r="D6" t="str">
        <f>_xlfn.XLOOKUP(C6,Lookup_Departments!$A$2:$A$7,Lookup_Departments!$B$2:$B$7,"Invalid Dept_Code",0)</f>
        <v>Information Technology</v>
      </c>
      <c r="E6" s="25">
        <v>44977</v>
      </c>
      <c r="F6" s="2" t="str">
        <f>TEXT(Table1[[#This Row],[Hire Date  ]],"yyyy")</f>
        <v>2023</v>
      </c>
      <c r="G6" s="8">
        <v>73785</v>
      </c>
      <c r="H6">
        <v>40</v>
      </c>
      <c r="I6" s="4">
        <f ca="1">DATEDIF(E6,TODAY(),"Y")</f>
        <v>3</v>
      </c>
      <c r="J6" s="6" t="str" cm="1">
        <f t="array" ref="J6">_xlfn.IFS(H6&lt;=49,"Needs Improvement",H6&lt;=69,"Developing",H6&lt;=84,"Achieving",H6&lt;=94,"Exceeding",H6&lt;=100,"Outstanding")</f>
        <v>Needs Improvement</v>
      </c>
      <c r="K6" s="6">
        <f>_xlfn.XLOOKUP(J6,Lookup_Performance!$C$2:$C$6,Lookup_Performance!$D$2:$D$6,"N/A",0)</f>
        <v>0</v>
      </c>
      <c r="L6" s="7">
        <f t="shared" si="0"/>
        <v>0</v>
      </c>
      <c r="M6" t="s">
        <v>10</v>
      </c>
      <c r="N6" t="str">
        <f>TRIM(CLEAN(Table1[[#This Row],[Employment Status]]))</f>
        <v>Left</v>
      </c>
    </row>
    <row r="7" spans="1:16" x14ac:dyDescent="0.25">
      <c r="A7" t="s">
        <v>11</v>
      </c>
      <c r="B7" t="s">
        <v>202</v>
      </c>
      <c r="C7" t="s">
        <v>12</v>
      </c>
      <c r="D7" t="str">
        <f>_xlfn.XLOOKUP(C7,Lookup_Departments!$A$2:$A$7,Lookup_Departments!$B$2:$B$7,"Invalid Dept_Code",0)</f>
        <v>Operations</v>
      </c>
      <c r="E7" s="25">
        <v>43892</v>
      </c>
      <c r="F7" s="2" t="str">
        <f>TEXT(Table1[[#This Row],[Hire Date  ]],"yyyy")</f>
        <v>2020</v>
      </c>
      <c r="G7" s="8">
        <v>115882</v>
      </c>
      <c r="H7">
        <v>49</v>
      </c>
      <c r="I7" s="4">
        <f ca="1">DATEDIF(E7,TODAY(),"Y")</f>
        <v>6</v>
      </c>
      <c r="J7" s="6" t="str" cm="1">
        <f t="array" ref="J7">_xlfn.IFS(H7&lt;=49,"Needs Improvement",H7&lt;=69,"Developing",H7&lt;=84,"Achieving",H7&lt;=94,"Exceeding",H7&lt;=100,"Outstanding")</f>
        <v>Needs Improvement</v>
      </c>
      <c r="K7" s="6">
        <f>_xlfn.XLOOKUP(J7,Lookup_Performance!$C$2:$C$6,Lookup_Performance!$D$2:$D$6,"N/A",0)</f>
        <v>0</v>
      </c>
      <c r="L7" s="7">
        <f t="shared" si="0"/>
        <v>0</v>
      </c>
      <c r="M7" t="s">
        <v>18</v>
      </c>
      <c r="N7" t="str">
        <f>TRIM(CLEAN(Table1[[#This Row],[Employment Status]]))</f>
        <v>Active</v>
      </c>
      <c r="P7" s="20">
        <v>45693</v>
      </c>
    </row>
    <row r="8" spans="1:16" x14ac:dyDescent="0.25">
      <c r="A8" t="s">
        <v>13</v>
      </c>
      <c r="B8" t="s">
        <v>203</v>
      </c>
      <c r="C8" t="s">
        <v>12</v>
      </c>
      <c r="D8" t="str">
        <f>_xlfn.XLOOKUP(C8,Lookup_Departments!$A$2:$A$7,Lookup_Departments!$B$2:$B$7,"Invalid Dept_Code",0)</f>
        <v>Operations</v>
      </c>
      <c r="E8" s="25">
        <v>45272</v>
      </c>
      <c r="F8" s="2" t="str">
        <f>TEXT(Table1[[#This Row],[Hire Date  ]],"yyyy")</f>
        <v>2023</v>
      </c>
      <c r="G8" s="8">
        <v>59980</v>
      </c>
      <c r="H8">
        <v>70</v>
      </c>
      <c r="I8" s="4">
        <f ca="1">DATEDIF(E8,TODAY(),"Y")</f>
        <v>2</v>
      </c>
      <c r="J8" s="6" t="str" cm="1">
        <f t="array" ref="J8">_xlfn.IFS(H8&lt;=49,"Needs Improvement",H8&lt;=69,"Developing",H8&lt;=84,"Achieving",H8&lt;=94,"Exceeding",H8&lt;=100,"Outstanding")</f>
        <v>Achieving</v>
      </c>
      <c r="K8" s="6">
        <f>_xlfn.XLOOKUP(J8,Lookup_Performance!$C$2:$C$6,Lookup_Performance!$D$2:$D$6,"N/A",0)</f>
        <v>0.05</v>
      </c>
      <c r="L8" s="7">
        <f t="shared" si="0"/>
        <v>2999</v>
      </c>
      <c r="M8" t="s">
        <v>10</v>
      </c>
      <c r="N8" t="str">
        <f>TRIM(CLEAN(Table1[[#This Row],[Employment Status]]))</f>
        <v>Left</v>
      </c>
      <c r="P8">
        <f>YEAR(2/5/2025)</f>
        <v>1900</v>
      </c>
    </row>
    <row r="9" spans="1:16" x14ac:dyDescent="0.25">
      <c r="A9" t="s">
        <v>14</v>
      </c>
      <c r="B9" t="s">
        <v>204</v>
      </c>
      <c r="C9" t="s">
        <v>12</v>
      </c>
      <c r="D9" t="str">
        <f>_xlfn.XLOOKUP(C9,Lookup_Departments!$A$2:$A$7,Lookup_Departments!$B$2:$B$7,"Invalid Dept_Code",0)</f>
        <v>Operations</v>
      </c>
      <c r="E9" s="25">
        <v>44174</v>
      </c>
      <c r="F9" s="2" t="str">
        <f>TEXT(Table1[[#This Row],[Hire Date  ]],"yyyy")</f>
        <v>2020</v>
      </c>
      <c r="G9" s="8">
        <v>68728</v>
      </c>
      <c r="H9">
        <v>45</v>
      </c>
      <c r="I9" s="4">
        <f ca="1">DATEDIF(E9,TODAY(),"Y")</f>
        <v>5</v>
      </c>
      <c r="J9" s="6" t="str" cm="1">
        <f t="array" ref="J9">_xlfn.IFS(H9&lt;=49,"Needs Improvement",H9&lt;=69,"Developing",H9&lt;=84,"Achieving",H9&lt;=94,"Exceeding",H9&lt;=100,"Outstanding")</f>
        <v>Needs Improvement</v>
      </c>
      <c r="K9" s="6">
        <f>_xlfn.XLOOKUP(J9,Lookup_Performance!$C$2:$C$6,Lookup_Performance!$D$2:$D$6,"N/A",0)</f>
        <v>0</v>
      </c>
      <c r="L9" s="7">
        <f t="shared" si="0"/>
        <v>0</v>
      </c>
      <c r="M9" t="s">
        <v>18</v>
      </c>
      <c r="N9" t="str">
        <f>TRIM(CLEAN(Table1[[#This Row],[Employment Status]]))</f>
        <v>Active</v>
      </c>
      <c r="P9" t="str">
        <f>TEXT(2/5/2025,"mmm")</f>
        <v>Jan</v>
      </c>
    </row>
    <row r="10" spans="1:16" x14ac:dyDescent="0.25">
      <c r="A10" t="s">
        <v>15</v>
      </c>
      <c r="B10" t="s">
        <v>205</v>
      </c>
      <c r="C10" t="s">
        <v>8</v>
      </c>
      <c r="D10" t="str">
        <f>_xlfn.XLOOKUP(C10,Lookup_Departments!$A$2:$A$7,Lookup_Departments!$B$2:$B$7,"Invalid Dept_Code",0)</f>
        <v>Finance</v>
      </c>
      <c r="E10" s="25">
        <v>43107</v>
      </c>
      <c r="F10" s="2" t="str">
        <f>TEXT(Table1[[#This Row],[Hire Date  ]],"yyyy")</f>
        <v>2018</v>
      </c>
      <c r="G10" s="8">
        <v>102139</v>
      </c>
      <c r="H10">
        <v>79</v>
      </c>
      <c r="I10" s="4">
        <f ca="1">DATEDIF(E10,TODAY(),"Y")</f>
        <v>8</v>
      </c>
      <c r="J10" s="6" t="str" cm="1">
        <f t="array" ref="J10">_xlfn.IFS(H10&lt;=49,"Needs Improvement",H10&lt;=69,"Developing",H10&lt;=84,"Achieving",H10&lt;=94,"Exceeding",H10&lt;=100,"Outstanding")</f>
        <v>Achieving</v>
      </c>
      <c r="K10" s="6">
        <f>_xlfn.XLOOKUP(J10,Lookup_Performance!$C$2:$C$6,Lookup_Performance!$D$2:$D$6,"N/A",0)</f>
        <v>0.05</v>
      </c>
      <c r="L10" s="7">
        <f t="shared" si="0"/>
        <v>5106.9500000000007</v>
      </c>
      <c r="M10" t="s">
        <v>18</v>
      </c>
      <c r="N10" t="str">
        <f>TRIM(CLEAN(Table1[[#This Row],[Employment Status]]))</f>
        <v>Active</v>
      </c>
      <c r="P10" t="str">
        <f>TEXT(2/5/2025,"dddd")</f>
        <v>Saturday</v>
      </c>
    </row>
    <row r="11" spans="1:16" x14ac:dyDescent="0.25">
      <c r="A11" t="s">
        <v>16</v>
      </c>
      <c r="B11" t="s">
        <v>206</v>
      </c>
      <c r="C11" t="s">
        <v>17</v>
      </c>
      <c r="D11" t="str">
        <f>_xlfn.XLOOKUP(C11,Lookup_Departments!$A$2:$A$7,Lookup_Departments!$B$2:$B$7,"Invalid Dept_Code",0)</f>
        <v>Sales</v>
      </c>
      <c r="E11" s="25">
        <v>42676</v>
      </c>
      <c r="F11" s="2" t="str">
        <f>TEXT(Table1[[#This Row],[Hire Date  ]],"yyyy")</f>
        <v>2016</v>
      </c>
      <c r="G11" s="8">
        <v>94998</v>
      </c>
      <c r="H11">
        <v>58</v>
      </c>
      <c r="I11" s="4">
        <f ca="1">DATEDIF(E11,TODAY(),"Y")</f>
        <v>9</v>
      </c>
      <c r="J11" s="6" t="str" cm="1">
        <f t="array" ref="J11">_xlfn.IFS(H11&lt;=49,"Needs Improvement",H11&lt;=69,"Developing",H11&lt;=84,"Achieving",H11&lt;=94,"Exceeding",H11&lt;=100,"Outstanding")</f>
        <v>Developing</v>
      </c>
      <c r="K11" s="6">
        <f>_xlfn.XLOOKUP(J11,Lookup_Performance!$C$2:$C$6,Lookup_Performance!$D$2:$D$6,"N/A",0)</f>
        <v>0.02</v>
      </c>
      <c r="L11" s="7">
        <f t="shared" si="0"/>
        <v>1899.96</v>
      </c>
      <c r="M11" t="s">
        <v>18</v>
      </c>
      <c r="N11" t="str">
        <f>TRIM(CLEAN(Table1[[#This Row],[Employment Status]]))</f>
        <v>Active</v>
      </c>
      <c r="P11">
        <f>YEAR(2/5/2025)</f>
        <v>1900</v>
      </c>
    </row>
    <row r="12" spans="1:16" x14ac:dyDescent="0.25">
      <c r="A12" t="s">
        <v>19</v>
      </c>
      <c r="B12" t="s">
        <v>207</v>
      </c>
      <c r="C12" t="s">
        <v>17</v>
      </c>
      <c r="D12" t="str">
        <f>_xlfn.XLOOKUP(C12,Lookup_Departments!$A$2:$A$7,Lookup_Departments!$B$2:$B$7,"Invalid Dept_Code",0)</f>
        <v>Sales</v>
      </c>
      <c r="E12" s="25">
        <v>43911</v>
      </c>
      <c r="F12" s="2" t="str">
        <f>TEXT(Table1[[#This Row],[Hire Date  ]],"yyyy")</f>
        <v>2020</v>
      </c>
      <c r="G12" s="8">
        <v>118635</v>
      </c>
      <c r="H12">
        <v>49</v>
      </c>
      <c r="I12" s="4">
        <f ca="1">DATEDIF(E12,TODAY(),"Y")</f>
        <v>6</v>
      </c>
      <c r="J12" s="6" t="str" cm="1">
        <f t="array" ref="J12">_xlfn.IFS(H12&lt;=49,"Needs Improvement",H12&lt;=69,"Developing",H12&lt;=84,"Achieving",H12&lt;=94,"Exceeding",H12&lt;=100,"Outstanding")</f>
        <v>Needs Improvement</v>
      </c>
      <c r="K12" s="6">
        <f>_xlfn.XLOOKUP(J12,Lookup_Performance!$C$2:$C$6,Lookup_Performance!$D$2:$D$6,"N/A",0)</f>
        <v>0</v>
      </c>
      <c r="L12" s="7">
        <f t="shared" si="0"/>
        <v>0</v>
      </c>
      <c r="M12" t="s">
        <v>18</v>
      </c>
      <c r="N12" t="str">
        <f>TRIM(CLEAN(Table1[[#This Row],[Employment Status]]))</f>
        <v>Active</v>
      </c>
    </row>
    <row r="13" spans="1:16" x14ac:dyDescent="0.25">
      <c r="A13" t="s">
        <v>20</v>
      </c>
      <c r="B13" t="s">
        <v>208</v>
      </c>
      <c r="C13" t="s">
        <v>3</v>
      </c>
      <c r="D13" t="str">
        <f>_xlfn.XLOOKUP(C13,Lookup_Departments!$A$2:$A$7,Lookup_Departments!$B$2:$B$7,"Invalid Dept_Code",0)</f>
        <v>Information Technology</v>
      </c>
      <c r="E13" s="25">
        <v>42425</v>
      </c>
      <c r="F13" s="2" t="str">
        <f>TEXT(Table1[[#This Row],[Hire Date  ]],"yyyy")</f>
        <v>2016</v>
      </c>
      <c r="G13" s="8">
        <v>76918</v>
      </c>
      <c r="H13">
        <v>62</v>
      </c>
      <c r="I13" s="4">
        <f ca="1">DATEDIF(E13,TODAY(),"Y")</f>
        <v>10</v>
      </c>
      <c r="J13" s="6" t="str" cm="1">
        <f t="array" ref="J13">_xlfn.IFS(H13&lt;=49,"Needs Improvement",H13&lt;=69,"Developing",H13&lt;=84,"Achieving",H13&lt;=94,"Exceeding",H13&lt;=100,"Outstanding")</f>
        <v>Developing</v>
      </c>
      <c r="K13" s="6">
        <f>_xlfn.XLOOKUP(J13,Lookup_Performance!$C$2:$C$6,Lookup_Performance!$D$2:$D$6,"N/A",0)</f>
        <v>0.02</v>
      </c>
      <c r="L13" s="7">
        <f t="shared" si="0"/>
        <v>1538.3600000000001</v>
      </c>
      <c r="M13" t="s">
        <v>18</v>
      </c>
      <c r="N13" t="str">
        <f>TRIM(CLEAN(Table1[[#This Row],[Employment Status]]))</f>
        <v>Active</v>
      </c>
    </row>
    <row r="14" spans="1:16" x14ac:dyDescent="0.25">
      <c r="A14" t="s">
        <v>21</v>
      </c>
      <c r="B14" t="s">
        <v>209</v>
      </c>
      <c r="C14" t="s">
        <v>5</v>
      </c>
      <c r="D14" t="str">
        <f>_xlfn.XLOOKUP(C14,Lookup_Departments!$A$2:$A$7,Lookup_Departments!$B$2:$B$7,"Invalid Dept_Code",0)</f>
        <v>Marketing</v>
      </c>
      <c r="E14" s="25">
        <v>44364</v>
      </c>
      <c r="F14" s="2" t="str">
        <f>TEXT(Table1[[#This Row],[Hire Date  ]],"yyyy")</f>
        <v>2021</v>
      </c>
      <c r="G14" s="8">
        <v>61408</v>
      </c>
      <c r="H14">
        <v>48</v>
      </c>
      <c r="I14" s="4">
        <f ca="1">DATEDIF(E14,TODAY(),"Y")</f>
        <v>5</v>
      </c>
      <c r="J14" s="6" t="str" cm="1">
        <f t="array" ref="J14">_xlfn.IFS(H14&lt;=49,"Needs Improvement",H14&lt;=69,"Developing",H14&lt;=84,"Achieving",H14&lt;=94,"Exceeding",H14&lt;=100,"Outstanding")</f>
        <v>Needs Improvement</v>
      </c>
      <c r="K14" s="6">
        <f>_xlfn.XLOOKUP(J14,Lookup_Performance!$C$2:$C$6,Lookup_Performance!$D$2:$D$6,"N/A",0)</f>
        <v>0</v>
      </c>
      <c r="L14" s="7">
        <f t="shared" si="0"/>
        <v>0</v>
      </c>
      <c r="M14" t="s">
        <v>18</v>
      </c>
      <c r="N14" t="str">
        <f>TRIM(CLEAN(Table1[[#This Row],[Employment Status]]))</f>
        <v>Active</v>
      </c>
    </row>
    <row r="15" spans="1:16" x14ac:dyDescent="0.25">
      <c r="A15" t="s">
        <v>22</v>
      </c>
      <c r="B15" t="s">
        <v>210</v>
      </c>
      <c r="C15" t="s">
        <v>5</v>
      </c>
      <c r="D15" t="str">
        <f>_xlfn.XLOOKUP(C15,Lookup_Departments!$A$2:$A$7,Lookup_Departments!$B$2:$B$7,"Invalid Dept_Code",0)</f>
        <v>Marketing</v>
      </c>
      <c r="E15" s="25">
        <v>44001</v>
      </c>
      <c r="F15" s="2" t="str">
        <f>TEXT(Table1[[#This Row],[Hire Date  ]],"yyyy")</f>
        <v>2020</v>
      </c>
      <c r="G15" s="8">
        <v>99990</v>
      </c>
      <c r="H15">
        <v>54</v>
      </c>
      <c r="I15" s="4">
        <f ca="1">DATEDIF(E15,TODAY(),"Y")</f>
        <v>6</v>
      </c>
      <c r="J15" s="6" t="str" cm="1">
        <f t="array" ref="J15">_xlfn.IFS(H15&lt;=49,"Needs Improvement",H15&lt;=69,"Developing",H15&lt;=84,"Achieving",H15&lt;=94,"Exceeding",H15&lt;=100,"Outstanding")</f>
        <v>Developing</v>
      </c>
      <c r="K15" s="6">
        <f>_xlfn.XLOOKUP(J15,Lookup_Performance!$C$2:$C$6,Lookup_Performance!$D$2:$D$6,"N/A",0)</f>
        <v>0.02</v>
      </c>
      <c r="L15" s="7">
        <f t="shared" si="0"/>
        <v>1999.8</v>
      </c>
      <c r="M15" t="s">
        <v>18</v>
      </c>
      <c r="N15" t="str">
        <f>TRIM(CLEAN(Table1[[#This Row],[Employment Status]]))</f>
        <v>Active</v>
      </c>
    </row>
    <row r="16" spans="1:16" x14ac:dyDescent="0.25">
      <c r="A16" t="s">
        <v>23</v>
      </c>
      <c r="B16" t="s">
        <v>211</v>
      </c>
      <c r="C16" t="s">
        <v>5</v>
      </c>
      <c r="D16" t="str">
        <f>_xlfn.XLOOKUP(C16,Lookup_Departments!$A$2:$A$7,Lookup_Departments!$B$2:$B$7,"Invalid Dept_Code",0)</f>
        <v>Marketing</v>
      </c>
      <c r="E16" s="25">
        <v>43820</v>
      </c>
      <c r="F16" s="2" t="str">
        <f>TEXT(Table1[[#This Row],[Hire Date  ]],"yyyy")</f>
        <v>2019</v>
      </c>
      <c r="G16" s="8">
        <v>80385</v>
      </c>
      <c r="H16">
        <v>68</v>
      </c>
      <c r="I16" s="4">
        <f ca="1">DATEDIF(E16,TODAY(),"Y")</f>
        <v>6</v>
      </c>
      <c r="J16" s="6" t="str" cm="1">
        <f t="array" ref="J16">_xlfn.IFS(H16&lt;=49,"Needs Improvement",H16&lt;=69,"Developing",H16&lt;=84,"Achieving",H16&lt;=94,"Exceeding",H16&lt;=100,"Outstanding")</f>
        <v>Developing</v>
      </c>
      <c r="K16" s="6">
        <f>_xlfn.XLOOKUP(J16,Lookup_Performance!$C$2:$C$6,Lookup_Performance!$D$2:$D$6,"N/A",0)</f>
        <v>0.02</v>
      </c>
      <c r="L16" s="7">
        <f t="shared" si="0"/>
        <v>1607.7</v>
      </c>
      <c r="M16" t="s">
        <v>18</v>
      </c>
      <c r="N16" t="str">
        <f>TRIM(CLEAN(Table1[[#This Row],[Employment Status]]))</f>
        <v>Active</v>
      </c>
    </row>
    <row r="17" spans="1:14" x14ac:dyDescent="0.25">
      <c r="A17" t="s">
        <v>24</v>
      </c>
      <c r="B17" t="s">
        <v>212</v>
      </c>
      <c r="C17" t="s">
        <v>17</v>
      </c>
      <c r="D17" t="str">
        <f>_xlfn.XLOOKUP(C17,Lookup_Departments!$A$2:$A$7,Lookup_Departments!$B$2:$B$7,"Invalid Dept_Code",0)</f>
        <v>Sales</v>
      </c>
      <c r="E17" s="25">
        <v>45169</v>
      </c>
      <c r="F17" s="2" t="str">
        <f>TEXT(Table1[[#This Row],[Hire Date  ]],"yyyy")</f>
        <v>2023</v>
      </c>
      <c r="G17" s="8">
        <v>65290</v>
      </c>
      <c r="H17">
        <v>77</v>
      </c>
      <c r="I17" s="4">
        <f ca="1">DATEDIF(E17,TODAY(),"Y")</f>
        <v>2</v>
      </c>
      <c r="J17" s="6" t="str" cm="1">
        <f t="array" ref="J17">_xlfn.IFS(H17&lt;=49,"Needs Improvement",H17&lt;=69,"Developing",H17&lt;=84,"Achieving",H17&lt;=94,"Exceeding",H17&lt;=100,"Outstanding")</f>
        <v>Achieving</v>
      </c>
      <c r="K17" s="6">
        <f>_xlfn.XLOOKUP(J17,Lookup_Performance!$C$2:$C$6,Lookup_Performance!$D$2:$D$6,"N/A",0)</f>
        <v>0.05</v>
      </c>
      <c r="L17" s="7">
        <f t="shared" si="0"/>
        <v>3264.5</v>
      </c>
      <c r="M17" t="s">
        <v>18</v>
      </c>
      <c r="N17" t="str">
        <f>TRIM(CLEAN(Table1[[#This Row],[Employment Status]]))</f>
        <v>Active</v>
      </c>
    </row>
    <row r="18" spans="1:14" x14ac:dyDescent="0.25">
      <c r="A18" t="s">
        <v>25</v>
      </c>
      <c r="B18" t="s">
        <v>213</v>
      </c>
      <c r="C18" t="s">
        <v>3</v>
      </c>
      <c r="D18" t="str">
        <f>_xlfn.XLOOKUP(C18,Lookup_Departments!$A$2:$A$7,Lookup_Departments!$B$2:$B$7,"Invalid Dept_Code",0)</f>
        <v>Information Technology</v>
      </c>
      <c r="E18" s="25">
        <v>42337</v>
      </c>
      <c r="F18" s="2" t="str">
        <f>TEXT(Table1[[#This Row],[Hire Date  ]],"yyyy")</f>
        <v>2015</v>
      </c>
      <c r="G18" s="8">
        <v>105765</v>
      </c>
      <c r="H18">
        <v>42</v>
      </c>
      <c r="I18" s="4">
        <f ca="1">DATEDIF(E18,TODAY(),"Y")</f>
        <v>10</v>
      </c>
      <c r="J18" s="6" t="str" cm="1">
        <f t="array" ref="J18">_xlfn.IFS(H18&lt;=49,"Needs Improvement",H18&lt;=69,"Developing",H18&lt;=84,"Achieving",H18&lt;=94,"Exceeding",H18&lt;=100,"Outstanding")</f>
        <v>Needs Improvement</v>
      </c>
      <c r="K18" s="6">
        <f>_xlfn.XLOOKUP(J18,Lookup_Performance!$C$2:$C$6,Lookup_Performance!$D$2:$D$6,"N/A",0)</f>
        <v>0</v>
      </c>
      <c r="L18" s="7">
        <f t="shared" si="0"/>
        <v>0</v>
      </c>
      <c r="M18" t="s">
        <v>18</v>
      </c>
      <c r="N18" t="str">
        <f>TRIM(CLEAN(Table1[[#This Row],[Employment Status]]))</f>
        <v>Active</v>
      </c>
    </row>
    <row r="19" spans="1:14" x14ac:dyDescent="0.25">
      <c r="A19" t="s">
        <v>26</v>
      </c>
      <c r="B19" t="s">
        <v>214</v>
      </c>
      <c r="C19" t="s">
        <v>17</v>
      </c>
      <c r="D19" t="str">
        <f>_xlfn.XLOOKUP(C19,Lookup_Departments!$A$2:$A$7,Lookup_Departments!$B$2:$B$7,"Invalid Dept_Code",0)</f>
        <v>Sales</v>
      </c>
      <c r="E19" s="25">
        <v>42899</v>
      </c>
      <c r="F19" s="2" t="str">
        <f>TEXT(Table1[[#This Row],[Hire Date  ]],"yyyy")</f>
        <v>2017</v>
      </c>
      <c r="G19" s="8">
        <v>102921</v>
      </c>
      <c r="H19">
        <v>49</v>
      </c>
      <c r="I19" s="4">
        <f ca="1">DATEDIF(E19,TODAY(),"Y")</f>
        <v>9</v>
      </c>
      <c r="J19" s="6" t="str" cm="1">
        <f t="array" ref="J19">_xlfn.IFS(H19&lt;=49,"Needs Improvement",H19&lt;=69,"Developing",H19&lt;=84,"Achieving",H19&lt;=94,"Exceeding",H19&lt;=100,"Outstanding")</f>
        <v>Needs Improvement</v>
      </c>
      <c r="K19" s="6">
        <f>_xlfn.XLOOKUP(J19,Lookup_Performance!$C$2:$C$6,Lookup_Performance!$D$2:$D$6,"N/A",0)</f>
        <v>0</v>
      </c>
      <c r="L19" s="7">
        <f t="shared" si="0"/>
        <v>0</v>
      </c>
      <c r="M19" t="s">
        <v>18</v>
      </c>
      <c r="N19" t="str">
        <f>TRIM(CLEAN(Table1[[#This Row],[Employment Status]]))</f>
        <v>Active</v>
      </c>
    </row>
    <row r="20" spans="1:14" x14ac:dyDescent="0.25">
      <c r="A20" t="s">
        <v>27</v>
      </c>
      <c r="B20" t="s">
        <v>215</v>
      </c>
      <c r="C20" t="s">
        <v>5</v>
      </c>
      <c r="D20" t="str">
        <f>_xlfn.XLOOKUP(C20,Lookup_Departments!$A$2:$A$7,Lookup_Departments!$B$2:$B$7,"Invalid Dept_Code",0)</f>
        <v>Marketing</v>
      </c>
      <c r="E20" s="25">
        <v>43235</v>
      </c>
      <c r="F20" s="2" t="str">
        <f>TEXT(Table1[[#This Row],[Hire Date  ]],"yyyy")</f>
        <v>2018</v>
      </c>
      <c r="G20" s="8">
        <v>73984</v>
      </c>
      <c r="H20">
        <v>93</v>
      </c>
      <c r="I20" s="4">
        <f ca="1">DATEDIF(E20,TODAY(),"Y")</f>
        <v>8</v>
      </c>
      <c r="J20" s="6" t="str" cm="1">
        <f t="array" ref="J20">_xlfn.IFS(H20&lt;=49,"Needs Improvement",H20&lt;=69,"Developing",H20&lt;=84,"Achieving",H20&lt;=94,"Exceeding",H20&lt;=100,"Outstanding")</f>
        <v>Exceeding</v>
      </c>
      <c r="K20" s="6">
        <f>_xlfn.XLOOKUP(J20,Lookup_Performance!$C$2:$C$6,Lookup_Performance!$D$2:$D$6,"N/A",0)</f>
        <v>0.08</v>
      </c>
      <c r="L20" s="7">
        <f t="shared" si="0"/>
        <v>5918.72</v>
      </c>
      <c r="M20" t="s">
        <v>18</v>
      </c>
      <c r="N20" t="str">
        <f>TRIM(CLEAN(Table1[[#This Row],[Employment Status]]))</f>
        <v>Active</v>
      </c>
    </row>
    <row r="21" spans="1:14" x14ac:dyDescent="0.25">
      <c r="A21" t="s">
        <v>28</v>
      </c>
      <c r="B21" t="s">
        <v>216</v>
      </c>
      <c r="C21" t="s">
        <v>3</v>
      </c>
      <c r="D21" t="str">
        <f>_xlfn.XLOOKUP(C21,Lookup_Departments!$A$2:$A$7,Lookup_Departments!$B$2:$B$7,"Invalid Dept_Code",0)</f>
        <v>Information Technology</v>
      </c>
      <c r="E21" s="25">
        <v>42575</v>
      </c>
      <c r="F21" s="2" t="str">
        <f>TEXT(Table1[[#This Row],[Hire Date  ]],"yyyy")</f>
        <v>2016</v>
      </c>
      <c r="G21" s="8">
        <v>74560</v>
      </c>
      <c r="H21">
        <v>75</v>
      </c>
      <c r="I21" s="4">
        <f ca="1">DATEDIF(E21,TODAY(),"Y")</f>
        <v>9</v>
      </c>
      <c r="J21" s="6" t="str" cm="1">
        <f t="array" ref="J21">_xlfn.IFS(H21&lt;=49,"Needs Improvement",H21&lt;=69,"Developing",H21&lt;=84,"Achieving",H21&lt;=94,"Exceeding",H21&lt;=100,"Outstanding")</f>
        <v>Achieving</v>
      </c>
      <c r="K21" s="6">
        <f>_xlfn.XLOOKUP(J21,Lookup_Performance!$C$2:$C$6,Lookup_Performance!$D$2:$D$6,"N/A",0)</f>
        <v>0.05</v>
      </c>
      <c r="L21" s="7">
        <f t="shared" si="0"/>
        <v>3728</v>
      </c>
      <c r="M21" t="s">
        <v>18</v>
      </c>
      <c r="N21" t="str">
        <f>TRIM(CLEAN(Table1[[#This Row],[Employment Status]]))</f>
        <v>Active</v>
      </c>
    </row>
    <row r="22" spans="1:14" x14ac:dyDescent="0.25">
      <c r="A22" t="s">
        <v>29</v>
      </c>
      <c r="B22" t="s">
        <v>217</v>
      </c>
      <c r="C22" t="s">
        <v>8</v>
      </c>
      <c r="D22" t="str">
        <f>_xlfn.XLOOKUP(C22,Lookup_Departments!$A$2:$A$7,Lookup_Departments!$B$2:$B$7,"Invalid Dept_Code",0)</f>
        <v>Finance</v>
      </c>
      <c r="E22" s="25">
        <v>43076</v>
      </c>
      <c r="F22" s="2" t="str">
        <f>TEXT(Table1[[#This Row],[Hire Date  ]],"yyyy")</f>
        <v>2017</v>
      </c>
      <c r="G22" s="8">
        <v>118527</v>
      </c>
      <c r="H22">
        <v>50</v>
      </c>
      <c r="I22" s="4">
        <f ca="1">DATEDIF(E22,TODAY(),"Y")</f>
        <v>8</v>
      </c>
      <c r="J22" s="6" t="str" cm="1">
        <f t="array" ref="J22">_xlfn.IFS(H22&lt;=49,"Needs Improvement",H22&lt;=69,"Developing",H22&lt;=84,"Achieving",H22&lt;=94,"Exceeding",H22&lt;=100,"Outstanding")</f>
        <v>Developing</v>
      </c>
      <c r="K22" s="6">
        <f>_xlfn.XLOOKUP(J22,Lookup_Performance!$C$2:$C$6,Lookup_Performance!$D$2:$D$6,"N/A",0)</f>
        <v>0.02</v>
      </c>
      <c r="L22" s="7">
        <f t="shared" si="0"/>
        <v>2370.54</v>
      </c>
      <c r="M22" t="s">
        <v>18</v>
      </c>
      <c r="N22" t="str">
        <f>TRIM(CLEAN(Table1[[#This Row],[Employment Status]]))</f>
        <v>Active</v>
      </c>
    </row>
    <row r="23" spans="1:14" x14ac:dyDescent="0.25">
      <c r="A23" t="s">
        <v>30</v>
      </c>
      <c r="B23" t="s">
        <v>198</v>
      </c>
      <c r="C23" t="s">
        <v>5</v>
      </c>
      <c r="D23" t="str">
        <f>_xlfn.XLOOKUP(C23,Lookup_Departments!$A$2:$A$7,Lookup_Departments!$B$2:$B$7,"Invalid Dept_Code",0)</f>
        <v>Marketing</v>
      </c>
      <c r="E23" s="25">
        <v>44353</v>
      </c>
      <c r="F23" s="2" t="str">
        <f>TEXT(Table1[[#This Row],[Hire Date  ]],"yyyy")</f>
        <v>2021</v>
      </c>
      <c r="G23" s="8">
        <v>107871</v>
      </c>
      <c r="H23">
        <v>88</v>
      </c>
      <c r="I23" s="4">
        <f ca="1">DATEDIF(E23,TODAY(),"Y")</f>
        <v>5</v>
      </c>
      <c r="J23" s="6" t="str" cm="1">
        <f t="array" ref="J23">_xlfn.IFS(H23&lt;=49,"Needs Improvement",H23&lt;=69,"Developing",H23&lt;=84,"Achieving",H23&lt;=94,"Exceeding",H23&lt;=100,"Outstanding")</f>
        <v>Exceeding</v>
      </c>
      <c r="K23" s="6">
        <f>_xlfn.XLOOKUP(J23,Lookup_Performance!$C$2:$C$6,Lookup_Performance!$D$2:$D$6,"N/A",0)</f>
        <v>0.08</v>
      </c>
      <c r="L23" s="7">
        <f t="shared" si="0"/>
        <v>8629.68</v>
      </c>
      <c r="M23" t="s">
        <v>18</v>
      </c>
      <c r="N23" t="str">
        <f>TRIM(CLEAN(Table1[[#This Row],[Employment Status]]))</f>
        <v>Active</v>
      </c>
    </row>
    <row r="24" spans="1:14" x14ac:dyDescent="0.25">
      <c r="A24" t="s">
        <v>31</v>
      </c>
      <c r="B24" t="s">
        <v>218</v>
      </c>
      <c r="C24" t="s">
        <v>3</v>
      </c>
      <c r="D24" t="str">
        <f>_xlfn.XLOOKUP(C24,Lookup_Departments!$A$2:$A$7,Lookup_Departments!$B$2:$B$7,"Invalid Dept_Code",0)</f>
        <v>Information Technology</v>
      </c>
      <c r="E24" s="25">
        <v>44815</v>
      </c>
      <c r="F24" s="2" t="str">
        <f>TEXT(Table1[[#This Row],[Hire Date  ]],"yyyy")</f>
        <v>2022</v>
      </c>
      <c r="G24" s="8">
        <v>93956</v>
      </c>
      <c r="H24">
        <v>50</v>
      </c>
      <c r="I24" s="4">
        <f ca="1">DATEDIF(E24,TODAY(),"Y")</f>
        <v>3</v>
      </c>
      <c r="J24" s="6" t="str" cm="1">
        <f t="array" ref="J24">_xlfn.IFS(H24&lt;=49,"Needs Improvement",H24&lt;=69,"Developing",H24&lt;=84,"Achieving",H24&lt;=94,"Exceeding",H24&lt;=100,"Outstanding")</f>
        <v>Developing</v>
      </c>
      <c r="K24" s="6">
        <f>_xlfn.XLOOKUP(J24,Lookup_Performance!$C$2:$C$6,Lookup_Performance!$D$2:$D$6,"N/A",0)</f>
        <v>0.02</v>
      </c>
      <c r="L24" s="7">
        <f t="shared" si="0"/>
        <v>1879.1200000000001</v>
      </c>
      <c r="M24" t="s">
        <v>10</v>
      </c>
      <c r="N24" t="str">
        <f>TRIM(CLEAN(Table1[[#This Row],[Employment Status]]))</f>
        <v>Left</v>
      </c>
    </row>
    <row r="25" spans="1:14" x14ac:dyDescent="0.25">
      <c r="A25" t="s">
        <v>32</v>
      </c>
      <c r="B25" t="s">
        <v>219</v>
      </c>
      <c r="C25" t="s">
        <v>8</v>
      </c>
      <c r="D25" t="str">
        <f>_xlfn.XLOOKUP(C25,Lookup_Departments!$A$2:$A$7,Lookup_Departments!$B$2:$B$7,"Invalid Dept_Code",0)</f>
        <v>Finance</v>
      </c>
      <c r="E25" s="25">
        <v>42565</v>
      </c>
      <c r="F25" s="2" t="str">
        <f>TEXT(Table1[[#This Row],[Hire Date  ]],"yyyy")</f>
        <v>2016</v>
      </c>
      <c r="G25" s="8">
        <v>100851</v>
      </c>
      <c r="H25">
        <v>64</v>
      </c>
      <c r="I25" s="4">
        <f ca="1">DATEDIF(E25,TODAY(),"Y")</f>
        <v>9</v>
      </c>
      <c r="J25" s="6" t="str" cm="1">
        <f t="array" ref="J25">_xlfn.IFS(H25&lt;=49,"Needs Improvement",H25&lt;=69,"Developing",H25&lt;=84,"Achieving",H25&lt;=94,"Exceeding",H25&lt;=100,"Outstanding")</f>
        <v>Developing</v>
      </c>
      <c r="K25" s="6">
        <f>_xlfn.XLOOKUP(J25,Lookup_Performance!$C$2:$C$6,Lookup_Performance!$D$2:$D$6,"N/A",0)</f>
        <v>0.02</v>
      </c>
      <c r="L25" s="7">
        <f t="shared" si="0"/>
        <v>2017.02</v>
      </c>
      <c r="M25" t="s">
        <v>18</v>
      </c>
      <c r="N25" t="str">
        <f>TRIM(CLEAN(Table1[[#This Row],[Employment Status]]))</f>
        <v>Active</v>
      </c>
    </row>
    <row r="26" spans="1:14" x14ac:dyDescent="0.25">
      <c r="A26" t="s">
        <v>33</v>
      </c>
      <c r="B26" t="s">
        <v>220</v>
      </c>
      <c r="C26" t="s">
        <v>17</v>
      </c>
      <c r="D26" t="str">
        <f>_xlfn.XLOOKUP(C26,Lookup_Departments!$A$2:$A$7,Lookup_Departments!$B$2:$B$7,"Invalid Dept_Code",0)</f>
        <v>Sales</v>
      </c>
      <c r="E26" s="25">
        <v>44728</v>
      </c>
      <c r="F26" s="2" t="str">
        <f>TEXT(Table1[[#This Row],[Hire Date  ]],"yyyy")</f>
        <v>2022</v>
      </c>
      <c r="G26" s="8">
        <v>68655</v>
      </c>
      <c r="H26">
        <v>32</v>
      </c>
      <c r="I26" s="4">
        <f ca="1">DATEDIF(E26,TODAY(),"Y")</f>
        <v>4</v>
      </c>
      <c r="J26" s="6" t="str" cm="1">
        <f t="array" ref="J26">_xlfn.IFS(H26&lt;=49,"Needs Improvement",H26&lt;=69,"Developing",H26&lt;=84,"Achieving",H26&lt;=94,"Exceeding",H26&lt;=100,"Outstanding")</f>
        <v>Needs Improvement</v>
      </c>
      <c r="K26" s="6">
        <f>_xlfn.XLOOKUP(J26,Lookup_Performance!$C$2:$C$6,Lookup_Performance!$D$2:$D$6,"N/A",0)</f>
        <v>0</v>
      </c>
      <c r="L26" s="7">
        <f t="shared" si="0"/>
        <v>0</v>
      </c>
      <c r="M26" t="s">
        <v>18</v>
      </c>
      <c r="N26" t="str">
        <f>TRIM(CLEAN(Table1[[#This Row],[Employment Status]]))</f>
        <v>Active</v>
      </c>
    </row>
    <row r="27" spans="1:14" x14ac:dyDescent="0.25">
      <c r="A27" t="s">
        <v>34</v>
      </c>
      <c r="B27" t="s">
        <v>221</v>
      </c>
      <c r="C27" t="s">
        <v>17</v>
      </c>
      <c r="D27" t="str">
        <f>_xlfn.XLOOKUP(C27,Lookup_Departments!$A$2:$A$7,Lookup_Departments!$B$2:$B$7,"Invalid Dept_Code",0)</f>
        <v>Sales</v>
      </c>
      <c r="E27" s="25">
        <v>45134</v>
      </c>
      <c r="F27" s="2" t="str">
        <f>TEXT(Table1[[#This Row],[Hire Date  ]],"yyyy")</f>
        <v>2023</v>
      </c>
      <c r="G27" s="8">
        <v>81205</v>
      </c>
      <c r="H27">
        <v>59</v>
      </c>
      <c r="I27" s="4">
        <f ca="1">DATEDIF(E27,TODAY(),"Y")</f>
        <v>2</v>
      </c>
      <c r="J27" s="6" t="str" cm="1">
        <f t="array" ref="J27">_xlfn.IFS(H27&lt;=49,"Needs Improvement",H27&lt;=69,"Developing",H27&lt;=84,"Achieving",H27&lt;=94,"Exceeding",H27&lt;=100,"Outstanding")</f>
        <v>Developing</v>
      </c>
      <c r="K27" s="6">
        <f>_xlfn.XLOOKUP(J27,Lookup_Performance!$C$2:$C$6,Lookup_Performance!$D$2:$D$6,"N/A",0)</f>
        <v>0.02</v>
      </c>
      <c r="L27" s="7">
        <f t="shared" si="0"/>
        <v>1624.1000000000001</v>
      </c>
      <c r="M27" t="s">
        <v>18</v>
      </c>
      <c r="N27" t="str">
        <f>TRIM(CLEAN(Table1[[#This Row],[Employment Status]]))</f>
        <v>Active</v>
      </c>
    </row>
    <row r="28" spans="1:14" x14ac:dyDescent="0.25">
      <c r="A28" t="s">
        <v>35</v>
      </c>
      <c r="B28" t="s">
        <v>203</v>
      </c>
      <c r="C28" t="s">
        <v>17</v>
      </c>
      <c r="D28" t="str">
        <f>_xlfn.XLOOKUP(C28,Lookup_Departments!$A$2:$A$7,Lookup_Departments!$B$2:$B$7,"Invalid Dept_Code",0)</f>
        <v>Sales</v>
      </c>
      <c r="E28" s="25">
        <v>43732</v>
      </c>
      <c r="F28" s="2" t="str">
        <f>TEXT(Table1[[#This Row],[Hire Date  ]],"yyyy")</f>
        <v>2019</v>
      </c>
      <c r="G28" s="8">
        <v>77610</v>
      </c>
      <c r="H28">
        <v>88</v>
      </c>
      <c r="I28" s="4">
        <f ca="1">DATEDIF(E28,TODAY(),"Y")</f>
        <v>6</v>
      </c>
      <c r="J28" s="6" t="str" cm="1">
        <f t="array" ref="J28">_xlfn.IFS(H28&lt;=49,"Needs Improvement",H28&lt;=69,"Developing",H28&lt;=84,"Achieving",H28&lt;=94,"Exceeding",H28&lt;=100,"Outstanding")</f>
        <v>Exceeding</v>
      </c>
      <c r="K28" s="6">
        <f>_xlfn.XLOOKUP(J28,Lookup_Performance!$C$2:$C$6,Lookup_Performance!$D$2:$D$6,"N/A",0)</f>
        <v>0.08</v>
      </c>
      <c r="L28" s="7">
        <f t="shared" si="0"/>
        <v>6208.8</v>
      </c>
      <c r="M28" t="s">
        <v>18</v>
      </c>
      <c r="N28" t="str">
        <f>TRIM(CLEAN(Table1[[#This Row],[Employment Status]]))</f>
        <v>Active</v>
      </c>
    </row>
    <row r="29" spans="1:14" x14ac:dyDescent="0.25">
      <c r="A29" t="s">
        <v>36</v>
      </c>
      <c r="B29" t="s">
        <v>212</v>
      </c>
      <c r="C29" t="s">
        <v>3</v>
      </c>
      <c r="D29" t="str">
        <f>_xlfn.XLOOKUP(C29,Lookup_Departments!$A$2:$A$7,Lookup_Departments!$B$2:$B$7,"Invalid Dept_Code",0)</f>
        <v>Information Technology</v>
      </c>
      <c r="E29" s="25">
        <v>44765</v>
      </c>
      <c r="F29" s="2" t="str">
        <f>TEXT(Table1[[#This Row],[Hire Date  ]],"yyyy")</f>
        <v>2022</v>
      </c>
      <c r="G29" s="8">
        <v>50873</v>
      </c>
      <c r="H29">
        <v>90</v>
      </c>
      <c r="I29" s="4">
        <f ca="1">DATEDIF(E29,TODAY(),"Y")</f>
        <v>3</v>
      </c>
      <c r="J29" s="6" t="str" cm="1">
        <f t="array" ref="J29">_xlfn.IFS(H29&lt;=49,"Needs Improvement",H29&lt;=69,"Developing",H29&lt;=84,"Achieving",H29&lt;=94,"Exceeding",H29&lt;=100,"Outstanding")</f>
        <v>Exceeding</v>
      </c>
      <c r="K29" s="6">
        <f>_xlfn.XLOOKUP(J29,Lookup_Performance!$C$2:$C$6,Lookup_Performance!$D$2:$D$6,"N/A",0)</f>
        <v>0.08</v>
      </c>
      <c r="L29" s="7">
        <f t="shared" si="0"/>
        <v>4069.84</v>
      </c>
      <c r="M29" t="s">
        <v>18</v>
      </c>
      <c r="N29" t="str">
        <f>TRIM(CLEAN(Table1[[#This Row],[Employment Status]]))</f>
        <v>Active</v>
      </c>
    </row>
    <row r="30" spans="1:14" x14ac:dyDescent="0.25">
      <c r="A30" t="s">
        <v>37</v>
      </c>
      <c r="B30" t="s">
        <v>222</v>
      </c>
      <c r="C30" t="s">
        <v>8</v>
      </c>
      <c r="D30" t="str">
        <f>_xlfn.XLOOKUP(C30,Lookup_Departments!$A$2:$A$7,Lookup_Departments!$B$2:$B$7,"Invalid Dept_Code",0)</f>
        <v>Finance</v>
      </c>
      <c r="E30" s="25">
        <v>43233</v>
      </c>
      <c r="F30" s="2" t="str">
        <f>TEXT(Table1[[#This Row],[Hire Date  ]],"yyyy")</f>
        <v>2018</v>
      </c>
      <c r="G30" s="8">
        <v>85312</v>
      </c>
      <c r="H30">
        <v>66</v>
      </c>
      <c r="I30" s="4">
        <f ca="1">DATEDIF(E30,TODAY(),"Y")</f>
        <v>8</v>
      </c>
      <c r="J30" s="6" t="str" cm="1">
        <f t="array" ref="J30">_xlfn.IFS(H30&lt;=49,"Needs Improvement",H30&lt;=69,"Developing",H30&lt;=84,"Achieving",H30&lt;=94,"Exceeding",H30&lt;=100,"Outstanding")</f>
        <v>Developing</v>
      </c>
      <c r="K30" s="6">
        <f>_xlfn.XLOOKUP(J30,Lookup_Performance!$C$2:$C$6,Lookup_Performance!$D$2:$D$6,"N/A",0)</f>
        <v>0.02</v>
      </c>
      <c r="L30" s="7">
        <f t="shared" si="0"/>
        <v>1706.24</v>
      </c>
      <c r="M30" t="s">
        <v>18</v>
      </c>
      <c r="N30" t="str">
        <f>TRIM(CLEAN(Table1[[#This Row],[Employment Status]]))</f>
        <v>Active</v>
      </c>
    </row>
    <row r="31" spans="1:14" x14ac:dyDescent="0.25">
      <c r="A31" t="s">
        <v>38</v>
      </c>
      <c r="B31" t="s">
        <v>223</v>
      </c>
      <c r="C31" t="s">
        <v>17</v>
      </c>
      <c r="D31" t="str">
        <f>_xlfn.XLOOKUP(C31,Lookup_Departments!$A$2:$A$7,Lookup_Departments!$B$2:$B$7,"Invalid Dept_Code",0)</f>
        <v>Sales</v>
      </c>
      <c r="E31" s="25">
        <v>42202</v>
      </c>
      <c r="F31" s="2" t="str">
        <f>TEXT(Table1[[#This Row],[Hire Date  ]],"yyyy")</f>
        <v>2015</v>
      </c>
      <c r="G31" s="8">
        <v>80907</v>
      </c>
      <c r="H31">
        <v>68</v>
      </c>
      <c r="I31" s="4">
        <f ca="1">DATEDIF(E31,TODAY(),"Y")</f>
        <v>10</v>
      </c>
      <c r="J31" s="6" t="str" cm="1">
        <f t="array" ref="J31">_xlfn.IFS(H31&lt;=49,"Needs Improvement",H31&lt;=69,"Developing",H31&lt;=84,"Achieving",H31&lt;=94,"Exceeding",H31&lt;=100,"Outstanding")</f>
        <v>Developing</v>
      </c>
      <c r="K31" s="6">
        <f>_xlfn.XLOOKUP(J31,Lookup_Performance!$C$2:$C$6,Lookup_Performance!$D$2:$D$6,"N/A",0)</f>
        <v>0.02</v>
      </c>
      <c r="L31" s="7">
        <f t="shared" si="0"/>
        <v>1618.14</v>
      </c>
      <c r="M31" t="s">
        <v>18</v>
      </c>
      <c r="N31" t="str">
        <f>TRIM(CLEAN(Table1[[#This Row],[Employment Status]]))</f>
        <v>Active</v>
      </c>
    </row>
    <row r="32" spans="1:14" x14ac:dyDescent="0.25">
      <c r="A32" t="s">
        <v>39</v>
      </c>
      <c r="B32" t="s">
        <v>224</v>
      </c>
      <c r="C32" t="s">
        <v>12</v>
      </c>
      <c r="D32" t="str">
        <f>_xlfn.XLOOKUP(C32,Lookup_Departments!$A$2:$A$7,Lookup_Departments!$B$2:$B$7,"Invalid Dept_Code",0)</f>
        <v>Operations</v>
      </c>
      <c r="E32" s="25">
        <v>42221</v>
      </c>
      <c r="F32" s="2" t="str">
        <f>TEXT(Table1[[#This Row],[Hire Date  ]],"yyyy")</f>
        <v>2015</v>
      </c>
      <c r="G32" s="8">
        <v>97055</v>
      </c>
      <c r="H32">
        <v>80</v>
      </c>
      <c r="I32" s="4">
        <f ca="1">DATEDIF(E32,TODAY(),"Y")</f>
        <v>10</v>
      </c>
      <c r="J32" s="6" t="str" cm="1">
        <f t="array" ref="J32">_xlfn.IFS(H32&lt;=49,"Needs Improvement",H32&lt;=69,"Developing",H32&lt;=84,"Achieving",H32&lt;=94,"Exceeding",H32&lt;=100,"Outstanding")</f>
        <v>Achieving</v>
      </c>
      <c r="K32" s="6">
        <f>_xlfn.XLOOKUP(J32,Lookup_Performance!$C$2:$C$6,Lookup_Performance!$D$2:$D$6,"N/A",0)</f>
        <v>0.05</v>
      </c>
      <c r="L32" s="7">
        <f t="shared" si="0"/>
        <v>4852.75</v>
      </c>
      <c r="M32" t="s">
        <v>18</v>
      </c>
      <c r="N32" t="str">
        <f>TRIM(CLEAN(Table1[[#This Row],[Employment Status]]))</f>
        <v>Active</v>
      </c>
    </row>
    <row r="33" spans="1:14" x14ac:dyDescent="0.25">
      <c r="A33" t="s">
        <v>40</v>
      </c>
      <c r="B33" t="s">
        <v>225</v>
      </c>
      <c r="C33" t="s">
        <v>3</v>
      </c>
      <c r="D33" t="str">
        <f>_xlfn.XLOOKUP(C33,Lookup_Departments!$A$2:$A$7,Lookup_Departments!$B$2:$B$7,"Invalid Dept_Code",0)</f>
        <v>Information Technology</v>
      </c>
      <c r="E33" s="25">
        <v>45195</v>
      </c>
      <c r="F33" s="2" t="str">
        <f>TEXT(Table1[[#This Row],[Hire Date  ]],"yyyy")</f>
        <v>2023</v>
      </c>
      <c r="G33" s="8">
        <v>66069</v>
      </c>
      <c r="H33">
        <v>72</v>
      </c>
      <c r="I33" s="4">
        <f ca="1">DATEDIF(E33,TODAY(),"Y")</f>
        <v>2</v>
      </c>
      <c r="J33" s="6" t="str" cm="1">
        <f t="array" ref="J33">_xlfn.IFS(H33&lt;=49,"Needs Improvement",H33&lt;=69,"Developing",H33&lt;=84,"Achieving",H33&lt;=94,"Exceeding",H33&lt;=100,"Outstanding")</f>
        <v>Achieving</v>
      </c>
      <c r="K33" s="6">
        <f>_xlfn.XLOOKUP(J33,Lookup_Performance!$C$2:$C$6,Lookup_Performance!$D$2:$D$6,"N/A",0)</f>
        <v>0.05</v>
      </c>
      <c r="L33" s="7">
        <f t="shared" si="0"/>
        <v>3303.4500000000003</v>
      </c>
      <c r="M33" t="s">
        <v>18</v>
      </c>
      <c r="N33" t="str">
        <f>TRIM(CLEAN(Table1[[#This Row],[Employment Status]]))</f>
        <v>Active</v>
      </c>
    </row>
    <row r="34" spans="1:14" x14ac:dyDescent="0.25">
      <c r="A34" t="s">
        <v>41</v>
      </c>
      <c r="B34" t="s">
        <v>226</v>
      </c>
      <c r="C34" t="s">
        <v>3</v>
      </c>
      <c r="D34" t="str">
        <f>_xlfn.XLOOKUP(C34,Lookup_Departments!$A$2:$A$7,Lookup_Departments!$B$2:$B$7,"Invalid Dept_Code",0)</f>
        <v>Information Technology</v>
      </c>
      <c r="E34" s="25">
        <v>43626</v>
      </c>
      <c r="F34" s="2" t="str">
        <f>TEXT(Table1[[#This Row],[Hire Date  ]],"yyyy")</f>
        <v>2019</v>
      </c>
      <c r="G34" s="8">
        <v>90157</v>
      </c>
      <c r="H34">
        <v>58</v>
      </c>
      <c r="I34" s="4">
        <f ca="1">DATEDIF(E34,TODAY(),"Y")</f>
        <v>7</v>
      </c>
      <c r="J34" s="6" t="str" cm="1">
        <f t="array" ref="J34">_xlfn.IFS(H34&lt;=49,"Needs Improvement",H34&lt;=69,"Developing",H34&lt;=84,"Achieving",H34&lt;=94,"Exceeding",H34&lt;=100,"Outstanding")</f>
        <v>Developing</v>
      </c>
      <c r="K34" s="6">
        <f>_xlfn.XLOOKUP(J34,Lookup_Performance!$C$2:$C$6,Lookup_Performance!$D$2:$D$6,"N/A",0)</f>
        <v>0.02</v>
      </c>
      <c r="L34" s="7">
        <f t="shared" si="0"/>
        <v>1803.14</v>
      </c>
      <c r="M34" t="s">
        <v>18</v>
      </c>
      <c r="N34" t="str">
        <f>TRIM(CLEAN(Table1[[#This Row],[Employment Status]]))</f>
        <v>Active</v>
      </c>
    </row>
    <row r="35" spans="1:14" x14ac:dyDescent="0.25">
      <c r="A35" t="s">
        <v>42</v>
      </c>
      <c r="B35" t="s">
        <v>227</v>
      </c>
      <c r="C35" t="s">
        <v>43</v>
      </c>
      <c r="D35" t="str">
        <f>_xlfn.XLOOKUP(C35,Lookup_Departments!$A$2:$A$7,Lookup_Departments!$B$2:$B$7,"Invalid Dept_Code",0)</f>
        <v>Human Resources</v>
      </c>
      <c r="E35" s="25">
        <v>44578</v>
      </c>
      <c r="F35" s="2" t="str">
        <f>TEXT(Table1[[#This Row],[Hire Date  ]],"yyyy")</f>
        <v>2022</v>
      </c>
      <c r="G35" s="8">
        <v>59899</v>
      </c>
      <c r="H35">
        <v>78</v>
      </c>
      <c r="I35" s="4">
        <f ca="1">DATEDIF(E35,TODAY(),"Y")</f>
        <v>4</v>
      </c>
      <c r="J35" s="6" t="str" cm="1">
        <f t="array" ref="J35">_xlfn.IFS(H35&lt;=49,"Needs Improvement",H35&lt;=69,"Developing",H35&lt;=84,"Achieving",H35&lt;=94,"Exceeding",H35&lt;=100,"Outstanding")</f>
        <v>Achieving</v>
      </c>
      <c r="K35" s="6">
        <f>_xlfn.XLOOKUP(J35,Lookup_Performance!$C$2:$C$6,Lookup_Performance!$D$2:$D$6,"N/A",0)</f>
        <v>0.05</v>
      </c>
      <c r="L35" s="7">
        <f t="shared" si="0"/>
        <v>2994.9500000000003</v>
      </c>
      <c r="M35" t="s">
        <v>18</v>
      </c>
      <c r="N35" t="str">
        <f>TRIM(CLEAN(Table1[[#This Row],[Employment Status]]))</f>
        <v>Active</v>
      </c>
    </row>
    <row r="36" spans="1:14" x14ac:dyDescent="0.25">
      <c r="A36" t="s">
        <v>44</v>
      </c>
      <c r="B36" t="s">
        <v>228</v>
      </c>
      <c r="C36" t="s">
        <v>8</v>
      </c>
      <c r="D36" t="str">
        <f>_xlfn.XLOOKUP(C36,Lookup_Departments!$A$2:$A$7,Lookup_Departments!$B$2:$B$7,"Invalid Dept_Code",0)</f>
        <v>Finance</v>
      </c>
      <c r="E36" s="25">
        <v>42919</v>
      </c>
      <c r="F36" s="2" t="str">
        <f>TEXT(Table1[[#This Row],[Hire Date  ]],"yyyy")</f>
        <v>2017</v>
      </c>
      <c r="G36" s="8">
        <v>113389</v>
      </c>
      <c r="H36">
        <v>30</v>
      </c>
      <c r="I36" s="4">
        <f ca="1">DATEDIF(E36,TODAY(),"Y")</f>
        <v>9</v>
      </c>
      <c r="J36" s="6" t="str" cm="1">
        <f t="array" ref="J36">_xlfn.IFS(H36&lt;=49,"Needs Improvement",H36&lt;=69,"Developing",H36&lt;=84,"Achieving",H36&lt;=94,"Exceeding",H36&lt;=100,"Outstanding")</f>
        <v>Needs Improvement</v>
      </c>
      <c r="K36" s="6">
        <f>_xlfn.XLOOKUP(J36,Lookup_Performance!$C$2:$C$6,Lookup_Performance!$D$2:$D$6,"N/A",0)</f>
        <v>0</v>
      </c>
      <c r="L36" s="7">
        <f t="shared" si="0"/>
        <v>0</v>
      </c>
      <c r="M36" t="s">
        <v>18</v>
      </c>
      <c r="N36" t="str">
        <f>TRIM(CLEAN(Table1[[#This Row],[Employment Status]]))</f>
        <v>Active</v>
      </c>
    </row>
    <row r="37" spans="1:14" x14ac:dyDescent="0.25">
      <c r="A37" t="s">
        <v>45</v>
      </c>
      <c r="B37" t="s">
        <v>229</v>
      </c>
      <c r="C37" t="s">
        <v>3</v>
      </c>
      <c r="D37" t="str">
        <f>_xlfn.XLOOKUP(C37,Lookup_Departments!$A$2:$A$7,Lookup_Departments!$B$2:$B$7,"Invalid Dept_Code",0)</f>
        <v>Information Technology</v>
      </c>
      <c r="E37" s="25">
        <v>42248</v>
      </c>
      <c r="F37" s="2" t="str">
        <f>TEXT(Table1[[#This Row],[Hire Date  ]],"yyyy")</f>
        <v>2015</v>
      </c>
      <c r="G37" s="8">
        <v>102691</v>
      </c>
      <c r="H37">
        <v>52</v>
      </c>
      <c r="I37" s="4">
        <f ca="1">DATEDIF(E37,TODAY(),"Y")</f>
        <v>10</v>
      </c>
      <c r="J37" s="6" t="str" cm="1">
        <f t="array" ref="J37">_xlfn.IFS(H37&lt;=49,"Needs Improvement",H37&lt;=69,"Developing",H37&lt;=84,"Achieving",H37&lt;=94,"Exceeding",H37&lt;=100,"Outstanding")</f>
        <v>Developing</v>
      </c>
      <c r="K37" s="6">
        <f>_xlfn.XLOOKUP(J37,Lookup_Performance!$C$2:$C$6,Lookup_Performance!$D$2:$D$6,"N/A",0)</f>
        <v>0.02</v>
      </c>
      <c r="L37" s="7">
        <f t="shared" si="0"/>
        <v>2053.8200000000002</v>
      </c>
      <c r="M37" t="s">
        <v>18</v>
      </c>
      <c r="N37" t="str">
        <f>TRIM(CLEAN(Table1[[#This Row],[Employment Status]]))</f>
        <v>Active</v>
      </c>
    </row>
    <row r="38" spans="1:14" x14ac:dyDescent="0.25">
      <c r="A38" t="s">
        <v>46</v>
      </c>
      <c r="B38" t="s">
        <v>203</v>
      </c>
      <c r="C38" t="s">
        <v>12</v>
      </c>
      <c r="D38" t="str">
        <f>_xlfn.XLOOKUP(C38,Lookup_Departments!$A$2:$A$7,Lookup_Departments!$B$2:$B$7,"Invalid Dept_Code",0)</f>
        <v>Operations</v>
      </c>
      <c r="E38" s="25">
        <v>44776</v>
      </c>
      <c r="F38" s="2" t="str">
        <f>TEXT(Table1[[#This Row],[Hire Date  ]],"yyyy")</f>
        <v>2022</v>
      </c>
      <c r="G38" s="8">
        <v>111845</v>
      </c>
      <c r="H38">
        <v>98</v>
      </c>
      <c r="I38" s="4">
        <f ca="1">DATEDIF(E38,TODAY(),"Y")</f>
        <v>3</v>
      </c>
      <c r="J38" s="6" t="str" cm="1">
        <f t="array" ref="J38">_xlfn.IFS(H38&lt;=49,"Needs Improvement",H38&lt;=69,"Developing",H38&lt;=84,"Achieving",H38&lt;=94,"Exceeding",H38&lt;=100,"Outstanding")</f>
        <v>Outstanding</v>
      </c>
      <c r="K38" s="6">
        <f>_xlfn.XLOOKUP(J38,Lookup_Performance!$C$2:$C$6,Lookup_Performance!$D$2:$D$6,"N/A",0)</f>
        <v>0.12</v>
      </c>
      <c r="L38" s="7">
        <f t="shared" si="0"/>
        <v>13421.4</v>
      </c>
      <c r="M38" t="s">
        <v>18</v>
      </c>
      <c r="N38" t="str">
        <f>TRIM(CLEAN(Table1[[#This Row],[Employment Status]]))</f>
        <v>Active</v>
      </c>
    </row>
    <row r="39" spans="1:14" x14ac:dyDescent="0.25">
      <c r="A39" t="s">
        <v>47</v>
      </c>
      <c r="B39" t="s">
        <v>230</v>
      </c>
      <c r="C39" t="s">
        <v>17</v>
      </c>
      <c r="D39" t="str">
        <f>_xlfn.XLOOKUP(C39,Lookup_Departments!$A$2:$A$7,Lookup_Departments!$B$2:$B$7,"Invalid Dept_Code",0)</f>
        <v>Sales</v>
      </c>
      <c r="E39" s="25" t="s">
        <v>48</v>
      </c>
      <c r="F39" s="2" t="str">
        <f>TEXT(Table1[[#This Row],[Hire Date  ]],"yyyy")</f>
        <v>2022</v>
      </c>
      <c r="G39" s="8">
        <v>69219</v>
      </c>
      <c r="H39">
        <v>93</v>
      </c>
      <c r="I39" s="4">
        <f ca="1">DATEDIF(E39,TODAY(),"Y")</f>
        <v>4</v>
      </c>
      <c r="J39" s="6" t="str" cm="1">
        <f t="array" ref="J39">_xlfn.IFS(H39&lt;=49,"Needs Improvement",H39&lt;=69,"Developing",H39&lt;=84,"Achieving",H39&lt;=94,"Exceeding",H39&lt;=100,"Outstanding")</f>
        <v>Exceeding</v>
      </c>
      <c r="K39" s="6">
        <f>_xlfn.XLOOKUP(J39,Lookup_Performance!$C$2:$C$6,Lookup_Performance!$D$2:$D$6,"N/A",0)</f>
        <v>0.08</v>
      </c>
      <c r="L39" s="7">
        <f t="shared" si="0"/>
        <v>5537.52</v>
      </c>
      <c r="M39" t="s">
        <v>18</v>
      </c>
      <c r="N39" t="str">
        <f>TRIM(CLEAN(Table1[[#This Row],[Employment Status]]))</f>
        <v>Active</v>
      </c>
    </row>
    <row r="40" spans="1:14" x14ac:dyDescent="0.25">
      <c r="A40" t="s">
        <v>49</v>
      </c>
      <c r="B40" t="s">
        <v>231</v>
      </c>
      <c r="C40" t="s">
        <v>8</v>
      </c>
      <c r="D40" t="str">
        <f>_xlfn.XLOOKUP(C40,Lookup_Departments!$A$2:$A$7,Lookup_Departments!$B$2:$B$7,"Invalid Dept_Code",0)</f>
        <v>Finance</v>
      </c>
      <c r="E40" s="25">
        <v>43949</v>
      </c>
      <c r="F40" s="2" t="str">
        <f>TEXT(Table1[[#This Row],[Hire Date  ]],"yyyy")</f>
        <v>2020</v>
      </c>
      <c r="G40" s="8">
        <v>95315</v>
      </c>
      <c r="H40">
        <v>80</v>
      </c>
      <c r="I40" s="4">
        <f ca="1">DATEDIF(E40,TODAY(),"Y")</f>
        <v>6</v>
      </c>
      <c r="J40" s="6" t="str" cm="1">
        <f t="array" ref="J40">_xlfn.IFS(H40&lt;=49,"Needs Improvement",H40&lt;=69,"Developing",H40&lt;=84,"Achieving",H40&lt;=94,"Exceeding",H40&lt;=100,"Outstanding")</f>
        <v>Achieving</v>
      </c>
      <c r="K40" s="6">
        <f>_xlfn.XLOOKUP(J40,Lookup_Performance!$C$2:$C$6,Lookup_Performance!$D$2:$D$6,"N/A",0)</f>
        <v>0.05</v>
      </c>
      <c r="L40" s="7">
        <f t="shared" si="0"/>
        <v>4765.75</v>
      </c>
      <c r="M40" t="s">
        <v>10</v>
      </c>
      <c r="N40" t="str">
        <f>TRIM(CLEAN(Table1[[#This Row],[Employment Status]]))</f>
        <v>Left</v>
      </c>
    </row>
    <row r="41" spans="1:14" x14ac:dyDescent="0.25">
      <c r="A41" t="s">
        <v>50</v>
      </c>
      <c r="B41" t="s">
        <v>232</v>
      </c>
      <c r="C41" t="s">
        <v>12</v>
      </c>
      <c r="D41" t="str">
        <f>_xlfn.XLOOKUP(C41,Lookup_Departments!$A$2:$A$7,Lookup_Departments!$B$2:$B$7,"Invalid Dept_Code",0)</f>
        <v>Operations</v>
      </c>
      <c r="E41" s="25" t="s">
        <v>51</v>
      </c>
      <c r="F41" s="2" t="str">
        <f>TEXT(Table1[[#This Row],[Hire Date  ]],"yyyy")</f>
        <v>2017</v>
      </c>
      <c r="G41" s="8">
        <v>57514</v>
      </c>
      <c r="H41">
        <v>68</v>
      </c>
      <c r="I41" s="4">
        <f ca="1">DATEDIF(E41,TODAY(),"Y")</f>
        <v>8</v>
      </c>
      <c r="J41" s="6" t="str" cm="1">
        <f t="array" ref="J41">_xlfn.IFS(H41&lt;=49,"Needs Improvement",H41&lt;=69,"Developing",H41&lt;=84,"Achieving",H41&lt;=94,"Exceeding",H41&lt;=100,"Outstanding")</f>
        <v>Developing</v>
      </c>
      <c r="K41" s="6">
        <f>_xlfn.XLOOKUP(J41,Lookup_Performance!$C$2:$C$6,Lookup_Performance!$D$2:$D$6,"N/A",0)</f>
        <v>0.02</v>
      </c>
      <c r="L41" s="7">
        <f t="shared" si="0"/>
        <v>1150.28</v>
      </c>
      <c r="M41" t="s">
        <v>18</v>
      </c>
      <c r="N41" t="str">
        <f>TRIM(CLEAN(Table1[[#This Row],[Employment Status]]))</f>
        <v>Active</v>
      </c>
    </row>
    <row r="42" spans="1:14" x14ac:dyDescent="0.25">
      <c r="A42" t="s">
        <v>52</v>
      </c>
      <c r="B42" t="s">
        <v>233</v>
      </c>
      <c r="C42" t="s">
        <v>17</v>
      </c>
      <c r="D42" t="str">
        <f>_xlfn.XLOOKUP(C42,Lookup_Departments!$A$2:$A$7,Lookup_Departments!$B$2:$B$7,"Invalid Dept_Code",0)</f>
        <v>Sales</v>
      </c>
      <c r="E42" s="25">
        <v>43181</v>
      </c>
      <c r="F42" s="2" t="str">
        <f>TEXT(Table1[[#This Row],[Hire Date  ]],"yyyy")</f>
        <v>2018</v>
      </c>
      <c r="G42" s="8">
        <v>86245</v>
      </c>
      <c r="H42">
        <v>71</v>
      </c>
      <c r="I42" s="4">
        <f ca="1">DATEDIF(E42,TODAY(),"Y")</f>
        <v>8</v>
      </c>
      <c r="J42" s="6" t="str" cm="1">
        <f t="array" ref="J42">_xlfn.IFS(H42&lt;=49,"Needs Improvement",H42&lt;=69,"Developing",H42&lt;=84,"Achieving",H42&lt;=94,"Exceeding",H42&lt;=100,"Outstanding")</f>
        <v>Achieving</v>
      </c>
      <c r="K42" s="6">
        <f>_xlfn.XLOOKUP(J42,Lookup_Performance!$C$2:$C$6,Lookup_Performance!$D$2:$D$6,"N/A",0)</f>
        <v>0.05</v>
      </c>
      <c r="L42" s="7">
        <f t="shared" si="0"/>
        <v>4312.25</v>
      </c>
      <c r="M42" t="s">
        <v>10</v>
      </c>
      <c r="N42" t="str">
        <f>TRIM(CLEAN(Table1[[#This Row],[Employment Status]]))</f>
        <v>Left</v>
      </c>
    </row>
    <row r="43" spans="1:14" x14ac:dyDescent="0.25">
      <c r="A43" t="s">
        <v>53</v>
      </c>
      <c r="B43" t="s">
        <v>234</v>
      </c>
      <c r="C43" t="s">
        <v>17</v>
      </c>
      <c r="D43" t="str">
        <f>_xlfn.XLOOKUP(C43,Lookup_Departments!$A$2:$A$7,Lookup_Departments!$B$2:$B$7,"Invalid Dept_Code",0)</f>
        <v>Sales</v>
      </c>
      <c r="E43" s="25">
        <v>43958</v>
      </c>
      <c r="F43" s="2" t="str">
        <f>TEXT(Table1[[#This Row],[Hire Date  ]],"yyyy")</f>
        <v>2020</v>
      </c>
      <c r="G43" s="8">
        <v>52407</v>
      </c>
      <c r="H43">
        <v>55</v>
      </c>
      <c r="I43" s="4">
        <f ca="1">DATEDIF(E43,TODAY(),"Y")</f>
        <v>6</v>
      </c>
      <c r="J43" s="6" t="str" cm="1">
        <f t="array" ref="J43">_xlfn.IFS(H43&lt;=49,"Needs Improvement",H43&lt;=69,"Developing",H43&lt;=84,"Achieving",H43&lt;=94,"Exceeding",H43&lt;=100,"Outstanding")</f>
        <v>Developing</v>
      </c>
      <c r="K43" s="6">
        <f>_xlfn.XLOOKUP(J43,Lookup_Performance!$C$2:$C$6,Lookup_Performance!$D$2:$D$6,"N/A",0)</f>
        <v>0.02</v>
      </c>
      <c r="L43" s="7">
        <f t="shared" si="0"/>
        <v>1048.1400000000001</v>
      </c>
      <c r="M43" t="s">
        <v>18</v>
      </c>
      <c r="N43" t="str">
        <f>TRIM(CLEAN(Table1[[#This Row],[Employment Status]]))</f>
        <v>Active</v>
      </c>
    </row>
    <row r="44" spans="1:14" x14ac:dyDescent="0.25">
      <c r="A44" t="s">
        <v>54</v>
      </c>
      <c r="B44" t="s">
        <v>235</v>
      </c>
      <c r="C44" t="s">
        <v>12</v>
      </c>
      <c r="D44" t="str">
        <f>_xlfn.XLOOKUP(C44,Lookup_Departments!$A$2:$A$7,Lookup_Departments!$B$2:$B$7,"Invalid Dept_Code",0)</f>
        <v>Operations</v>
      </c>
      <c r="E44" s="25">
        <v>43549</v>
      </c>
      <c r="F44" s="2" t="str">
        <f>TEXT(Table1[[#This Row],[Hire Date  ]],"yyyy")</f>
        <v>2019</v>
      </c>
      <c r="G44" s="8">
        <v>66606</v>
      </c>
      <c r="H44">
        <v>93</v>
      </c>
      <c r="I44" s="4">
        <f ca="1">DATEDIF(E44,TODAY(),"Y")</f>
        <v>7</v>
      </c>
      <c r="J44" s="6" t="str" cm="1">
        <f t="array" ref="J44">_xlfn.IFS(H44&lt;=49,"Needs Improvement",H44&lt;=69,"Developing",H44&lt;=84,"Achieving",H44&lt;=94,"Exceeding",H44&lt;=100,"Outstanding")</f>
        <v>Exceeding</v>
      </c>
      <c r="K44" s="6">
        <f>_xlfn.XLOOKUP(J44,Lookup_Performance!$C$2:$C$6,Lookup_Performance!$D$2:$D$6,"N/A",0)</f>
        <v>0.08</v>
      </c>
      <c r="L44" s="7">
        <f t="shared" si="0"/>
        <v>5328.4800000000005</v>
      </c>
      <c r="M44" t="s">
        <v>55</v>
      </c>
      <c r="N44" t="str">
        <f>TRIM(CLEAN(Table1[[#This Row],[Employment Status]]))</f>
        <v>Resigned</v>
      </c>
    </row>
    <row r="45" spans="1:14" x14ac:dyDescent="0.25">
      <c r="A45" t="s">
        <v>56</v>
      </c>
      <c r="B45" t="s">
        <v>236</v>
      </c>
      <c r="C45" t="s">
        <v>3</v>
      </c>
      <c r="D45" t="str">
        <f>_xlfn.XLOOKUP(C45,Lookup_Departments!$A$2:$A$7,Lookup_Departments!$B$2:$B$7,"Invalid Dept_Code",0)</f>
        <v>Information Technology</v>
      </c>
      <c r="E45" s="25">
        <v>43686</v>
      </c>
      <c r="F45" s="2" t="str">
        <f>TEXT(Table1[[#This Row],[Hire Date  ]],"yyyy")</f>
        <v>2019</v>
      </c>
      <c r="G45" s="8">
        <v>81896</v>
      </c>
      <c r="H45">
        <v>79</v>
      </c>
      <c r="I45" s="4">
        <f ca="1">DATEDIF(E45,TODAY(),"Y")</f>
        <v>6</v>
      </c>
      <c r="J45" s="6" t="str" cm="1">
        <f t="array" ref="J45">_xlfn.IFS(H45&lt;=49,"Needs Improvement",H45&lt;=69,"Developing",H45&lt;=84,"Achieving",H45&lt;=94,"Exceeding",H45&lt;=100,"Outstanding")</f>
        <v>Achieving</v>
      </c>
      <c r="K45" s="6">
        <f>_xlfn.XLOOKUP(J45,Lookup_Performance!$C$2:$C$6,Lookup_Performance!$D$2:$D$6,"N/A",0)</f>
        <v>0.05</v>
      </c>
      <c r="L45" s="7">
        <f t="shared" si="0"/>
        <v>4094.8</v>
      </c>
      <c r="M45" t="s">
        <v>55</v>
      </c>
      <c r="N45" t="str">
        <f>TRIM(CLEAN(Table1[[#This Row],[Employment Status]]))</f>
        <v>Resigned</v>
      </c>
    </row>
    <row r="46" spans="1:14" x14ac:dyDescent="0.25">
      <c r="A46" t="s">
        <v>57</v>
      </c>
      <c r="B46" t="s">
        <v>237</v>
      </c>
      <c r="C46" t="s">
        <v>17</v>
      </c>
      <c r="D46" t="str">
        <f>_xlfn.XLOOKUP(C46,Lookup_Departments!$A$2:$A$7,Lookup_Departments!$B$2:$B$7,"Invalid Dept_Code",0)</f>
        <v>Sales</v>
      </c>
      <c r="E46" s="25" t="s">
        <v>58</v>
      </c>
      <c r="F46" s="2" t="str">
        <f>TEXT(Table1[[#This Row],[Hire Date  ]],"yyyy")</f>
        <v>2016</v>
      </c>
      <c r="G46" s="8">
        <v>78402</v>
      </c>
      <c r="H46">
        <v>54</v>
      </c>
      <c r="I46" s="4">
        <f ca="1">DATEDIF(E46,TODAY(),"Y")</f>
        <v>9</v>
      </c>
      <c r="J46" s="6" t="str" cm="1">
        <f t="array" ref="J46">_xlfn.IFS(H46&lt;=49,"Needs Improvement",H46&lt;=69,"Developing",H46&lt;=84,"Achieving",H46&lt;=94,"Exceeding",H46&lt;=100,"Outstanding")</f>
        <v>Developing</v>
      </c>
      <c r="K46" s="6">
        <f>_xlfn.XLOOKUP(J46,Lookup_Performance!$C$2:$C$6,Lookup_Performance!$D$2:$D$6,"N/A",0)</f>
        <v>0.02</v>
      </c>
      <c r="L46" s="7">
        <f t="shared" si="0"/>
        <v>1568.04</v>
      </c>
      <c r="M46" t="s">
        <v>18</v>
      </c>
      <c r="N46" t="str">
        <f>TRIM(CLEAN(Table1[[#This Row],[Employment Status]]))</f>
        <v>Active</v>
      </c>
    </row>
    <row r="47" spans="1:14" x14ac:dyDescent="0.25">
      <c r="A47" t="s">
        <v>59</v>
      </c>
      <c r="B47" t="s">
        <v>238</v>
      </c>
      <c r="C47" t="s">
        <v>12</v>
      </c>
      <c r="D47" t="str">
        <f>_xlfn.XLOOKUP(C47,Lookup_Departments!$A$2:$A$7,Lookup_Departments!$B$2:$B$7,"Invalid Dept_Code",0)</f>
        <v>Operations</v>
      </c>
      <c r="E47" s="25">
        <v>42647</v>
      </c>
      <c r="F47" s="2" t="str">
        <f>TEXT(Table1[[#This Row],[Hire Date  ]],"yyyy")</f>
        <v>2016</v>
      </c>
      <c r="G47" s="8">
        <v>105498</v>
      </c>
      <c r="H47">
        <v>76</v>
      </c>
      <c r="I47" s="4">
        <f ca="1">DATEDIF(E47,TODAY(),"Y")</f>
        <v>9</v>
      </c>
      <c r="J47" s="6" t="str" cm="1">
        <f t="array" ref="J47">_xlfn.IFS(H47&lt;=49,"Needs Improvement",H47&lt;=69,"Developing",H47&lt;=84,"Achieving",H47&lt;=94,"Exceeding",H47&lt;=100,"Outstanding")</f>
        <v>Achieving</v>
      </c>
      <c r="K47" s="6">
        <f>_xlfn.XLOOKUP(J47,Lookup_Performance!$C$2:$C$6,Lookup_Performance!$D$2:$D$6,"N/A",0)</f>
        <v>0.05</v>
      </c>
      <c r="L47" s="7">
        <f t="shared" si="0"/>
        <v>5274.9000000000005</v>
      </c>
      <c r="M47" t="s">
        <v>18</v>
      </c>
      <c r="N47" t="str">
        <f>TRIM(CLEAN(Table1[[#This Row],[Employment Status]]))</f>
        <v>Active</v>
      </c>
    </row>
    <row r="48" spans="1:14" x14ac:dyDescent="0.25">
      <c r="A48" t="s">
        <v>60</v>
      </c>
      <c r="B48" t="s">
        <v>239</v>
      </c>
      <c r="C48" t="s">
        <v>5</v>
      </c>
      <c r="D48" t="str">
        <f>_xlfn.XLOOKUP(C48,Lookup_Departments!$A$2:$A$7,Lookup_Departments!$B$2:$B$7,"Invalid Dept_Code",0)</f>
        <v>Marketing</v>
      </c>
      <c r="E48" s="25">
        <v>43656</v>
      </c>
      <c r="F48" s="2" t="str">
        <f>TEXT(Table1[[#This Row],[Hire Date  ]],"yyyy")</f>
        <v>2019</v>
      </c>
      <c r="G48" s="8">
        <v>91749</v>
      </c>
      <c r="H48">
        <v>72</v>
      </c>
      <c r="I48" s="4">
        <f ca="1">DATEDIF(E48,TODAY(),"Y")</f>
        <v>6</v>
      </c>
      <c r="J48" s="6" t="str" cm="1">
        <f t="array" ref="J48">_xlfn.IFS(H48&lt;=49,"Needs Improvement",H48&lt;=69,"Developing",H48&lt;=84,"Achieving",H48&lt;=94,"Exceeding",H48&lt;=100,"Outstanding")</f>
        <v>Achieving</v>
      </c>
      <c r="K48" s="6">
        <f>_xlfn.XLOOKUP(J48,Lookup_Performance!$C$2:$C$6,Lookup_Performance!$D$2:$D$6,"N/A",0)</f>
        <v>0.05</v>
      </c>
      <c r="L48" s="7">
        <f t="shared" si="0"/>
        <v>4587.45</v>
      </c>
      <c r="M48" t="s">
        <v>10</v>
      </c>
      <c r="N48" t="str">
        <f>TRIM(CLEAN(Table1[[#This Row],[Employment Status]]))</f>
        <v>Left</v>
      </c>
    </row>
    <row r="49" spans="1:14" x14ac:dyDescent="0.25">
      <c r="A49" t="s">
        <v>61</v>
      </c>
      <c r="B49" t="s">
        <v>240</v>
      </c>
      <c r="C49" t="s">
        <v>12</v>
      </c>
      <c r="D49" t="str">
        <f>_xlfn.XLOOKUP(C49,Lookup_Departments!$A$2:$A$7,Lookup_Departments!$B$2:$B$7,"Invalid Dept_Code",0)</f>
        <v>Operations</v>
      </c>
      <c r="E49" s="25">
        <v>44437</v>
      </c>
      <c r="F49" s="2" t="str">
        <f>TEXT(Table1[[#This Row],[Hire Date  ]],"yyyy")</f>
        <v>2021</v>
      </c>
      <c r="G49" s="8">
        <v>99935</v>
      </c>
      <c r="H49">
        <v>84</v>
      </c>
      <c r="I49" s="4">
        <f ca="1">DATEDIF(E49,TODAY(),"Y")</f>
        <v>4</v>
      </c>
      <c r="J49" s="6" t="str" cm="1">
        <f t="array" ref="J49">_xlfn.IFS(H49&lt;=49,"Needs Improvement",H49&lt;=69,"Developing",H49&lt;=84,"Achieving",H49&lt;=94,"Exceeding",H49&lt;=100,"Outstanding")</f>
        <v>Achieving</v>
      </c>
      <c r="K49" s="6">
        <f>_xlfn.XLOOKUP(J49,Lookup_Performance!$C$2:$C$6,Lookup_Performance!$D$2:$D$6,"N/A",0)</f>
        <v>0.05</v>
      </c>
      <c r="L49" s="7">
        <f t="shared" si="0"/>
        <v>4996.75</v>
      </c>
      <c r="M49" t="s">
        <v>55</v>
      </c>
      <c r="N49" t="str">
        <f>TRIM(CLEAN(Table1[[#This Row],[Employment Status]]))</f>
        <v>Resigned</v>
      </c>
    </row>
    <row r="50" spans="1:14" x14ac:dyDescent="0.25">
      <c r="A50" t="s">
        <v>62</v>
      </c>
      <c r="B50" t="s">
        <v>241</v>
      </c>
      <c r="C50" t="s">
        <v>3</v>
      </c>
      <c r="D50" t="str">
        <f>_xlfn.XLOOKUP(C50,Lookup_Departments!$A$2:$A$7,Lookup_Departments!$B$2:$B$7,"Invalid Dept_Code",0)</f>
        <v>Information Technology</v>
      </c>
      <c r="E50" s="25">
        <v>42761</v>
      </c>
      <c r="F50" s="2" t="str">
        <f>TEXT(Table1[[#This Row],[Hire Date  ]],"yyyy")</f>
        <v>2017</v>
      </c>
      <c r="G50" s="8">
        <v>83531</v>
      </c>
      <c r="H50">
        <v>30</v>
      </c>
      <c r="I50" s="4">
        <f ca="1">DATEDIF(E50,TODAY(),"Y")</f>
        <v>9</v>
      </c>
      <c r="J50" s="6" t="str" cm="1">
        <f t="array" ref="J50">_xlfn.IFS(H50&lt;=49,"Needs Improvement",H50&lt;=69,"Developing",H50&lt;=84,"Achieving",H50&lt;=94,"Exceeding",H50&lt;=100,"Outstanding")</f>
        <v>Needs Improvement</v>
      </c>
      <c r="K50" s="6">
        <f>_xlfn.XLOOKUP(J50,Lookup_Performance!$C$2:$C$6,Lookup_Performance!$D$2:$D$6,"N/A",0)</f>
        <v>0</v>
      </c>
      <c r="L50" s="7">
        <f t="shared" si="0"/>
        <v>0</v>
      </c>
      <c r="M50" t="s">
        <v>10</v>
      </c>
      <c r="N50" t="str">
        <f>TRIM(CLEAN(Table1[[#This Row],[Employment Status]]))</f>
        <v>Left</v>
      </c>
    </row>
    <row r="51" spans="1:14" x14ac:dyDescent="0.25">
      <c r="A51" t="s">
        <v>63</v>
      </c>
      <c r="B51" t="s">
        <v>242</v>
      </c>
      <c r="C51" t="s">
        <v>5</v>
      </c>
      <c r="D51" t="str">
        <f>_xlfn.XLOOKUP(C51,Lookup_Departments!$A$2:$A$7,Lookup_Departments!$B$2:$B$7,"Invalid Dept_Code",0)</f>
        <v>Marketing</v>
      </c>
      <c r="E51" s="25">
        <v>43981</v>
      </c>
      <c r="F51" s="2" t="str">
        <f>TEXT(Table1[[#This Row],[Hire Date  ]],"yyyy")</f>
        <v>2020</v>
      </c>
      <c r="G51" s="8">
        <v>75023</v>
      </c>
      <c r="H51">
        <v>68</v>
      </c>
      <c r="I51" s="4">
        <f ca="1">DATEDIF(E51,TODAY(),"Y")</f>
        <v>6</v>
      </c>
      <c r="J51" s="6" t="str" cm="1">
        <f t="array" ref="J51">_xlfn.IFS(H51&lt;=49,"Needs Improvement",H51&lt;=69,"Developing",H51&lt;=84,"Achieving",H51&lt;=94,"Exceeding",H51&lt;=100,"Outstanding")</f>
        <v>Developing</v>
      </c>
      <c r="K51" s="6">
        <f>_xlfn.XLOOKUP(J51,Lookup_Performance!$C$2:$C$6,Lookup_Performance!$D$2:$D$6,"N/A",0)</f>
        <v>0.02</v>
      </c>
      <c r="L51" s="7">
        <f t="shared" si="0"/>
        <v>1500.46</v>
      </c>
      <c r="M51" t="s">
        <v>18</v>
      </c>
      <c r="N51" t="str">
        <f>TRIM(CLEAN(Table1[[#This Row],[Employment Status]]))</f>
        <v>Active</v>
      </c>
    </row>
    <row r="52" spans="1:14" x14ac:dyDescent="0.25">
      <c r="A52" t="s">
        <v>64</v>
      </c>
      <c r="B52" t="s">
        <v>243</v>
      </c>
      <c r="C52" t="s">
        <v>43</v>
      </c>
      <c r="D52" t="str">
        <f>_xlfn.XLOOKUP(C52,Lookup_Departments!$A$2:$A$7,Lookup_Departments!$B$2:$B$7,"Invalid Dept_Code",0)</f>
        <v>Human Resources</v>
      </c>
      <c r="E52" s="25">
        <v>44612</v>
      </c>
      <c r="F52" s="2" t="str">
        <f>TEXT(Table1[[#This Row],[Hire Date  ]],"yyyy")</f>
        <v>2022</v>
      </c>
      <c r="G52" s="8">
        <v>93290</v>
      </c>
      <c r="H52">
        <v>53</v>
      </c>
      <c r="I52" s="4">
        <f ca="1">DATEDIF(E52,TODAY(),"Y")</f>
        <v>4</v>
      </c>
      <c r="J52" s="6" t="str" cm="1">
        <f t="array" ref="J52">_xlfn.IFS(H52&lt;=49,"Needs Improvement",H52&lt;=69,"Developing",H52&lt;=84,"Achieving",H52&lt;=94,"Exceeding",H52&lt;=100,"Outstanding")</f>
        <v>Developing</v>
      </c>
      <c r="K52" s="6">
        <f>_xlfn.XLOOKUP(J52,Lookup_Performance!$C$2:$C$6,Lookup_Performance!$D$2:$D$6,"N/A",0)</f>
        <v>0.02</v>
      </c>
      <c r="L52" s="7">
        <f t="shared" si="0"/>
        <v>1865.8</v>
      </c>
      <c r="M52" t="s">
        <v>18</v>
      </c>
      <c r="N52" t="str">
        <f>TRIM(CLEAN(Table1[[#This Row],[Employment Status]]))</f>
        <v>Active</v>
      </c>
    </row>
    <row r="53" spans="1:14" x14ac:dyDescent="0.25">
      <c r="A53" t="s">
        <v>65</v>
      </c>
      <c r="B53" t="s">
        <v>244</v>
      </c>
      <c r="C53" t="s">
        <v>12</v>
      </c>
      <c r="D53" t="str">
        <f>_xlfn.XLOOKUP(C53,Lookup_Departments!$A$2:$A$7,Lookup_Departments!$B$2:$B$7,"Invalid Dept_Code",0)</f>
        <v>Operations</v>
      </c>
      <c r="E53" s="25">
        <v>42628</v>
      </c>
      <c r="F53" s="2" t="str">
        <f>TEXT(Table1[[#This Row],[Hire Date  ]],"yyyy")</f>
        <v>2016</v>
      </c>
      <c r="G53" s="8">
        <v>115527</v>
      </c>
      <c r="H53">
        <v>63</v>
      </c>
      <c r="I53" s="4">
        <f ca="1">DATEDIF(E53,TODAY(),"Y")</f>
        <v>9</v>
      </c>
      <c r="J53" s="6" t="str" cm="1">
        <f t="array" ref="J53">_xlfn.IFS(H53&lt;=49,"Needs Improvement",H53&lt;=69,"Developing",H53&lt;=84,"Achieving",H53&lt;=94,"Exceeding",H53&lt;=100,"Outstanding")</f>
        <v>Developing</v>
      </c>
      <c r="K53" s="6">
        <f>_xlfn.XLOOKUP(J53,Lookup_Performance!$C$2:$C$6,Lookup_Performance!$D$2:$D$6,"N/A",0)</f>
        <v>0.02</v>
      </c>
      <c r="L53" s="7">
        <f t="shared" si="0"/>
        <v>2310.54</v>
      </c>
      <c r="M53" t="s">
        <v>55</v>
      </c>
      <c r="N53" t="str">
        <f>TRIM(CLEAN(Table1[[#This Row],[Employment Status]]))</f>
        <v>Resigned</v>
      </c>
    </row>
    <row r="54" spans="1:14" x14ac:dyDescent="0.25">
      <c r="A54" t="s">
        <v>66</v>
      </c>
      <c r="B54" t="s">
        <v>212</v>
      </c>
      <c r="C54" t="s">
        <v>8</v>
      </c>
      <c r="D54" t="str">
        <f>_xlfn.XLOOKUP(C54,Lookup_Departments!$A$2:$A$7,Lookup_Departments!$B$2:$B$7,"Invalid Dept_Code",0)</f>
        <v>Finance</v>
      </c>
      <c r="E54" s="25" t="s">
        <v>67</v>
      </c>
      <c r="F54" s="2" t="str">
        <f>TEXT(Table1[[#This Row],[Hire Date  ]],"yyyy")</f>
        <v>2019</v>
      </c>
      <c r="G54" s="8">
        <v>55920</v>
      </c>
      <c r="H54">
        <v>84</v>
      </c>
      <c r="I54" s="4">
        <f ca="1">DATEDIF(E54,TODAY(),"Y")</f>
        <v>6</v>
      </c>
      <c r="J54" s="6" t="str" cm="1">
        <f t="array" ref="J54">_xlfn.IFS(H54&lt;=49,"Needs Improvement",H54&lt;=69,"Developing",H54&lt;=84,"Achieving",H54&lt;=94,"Exceeding",H54&lt;=100,"Outstanding")</f>
        <v>Achieving</v>
      </c>
      <c r="K54" s="6">
        <f>_xlfn.XLOOKUP(J54,Lookup_Performance!$C$2:$C$6,Lookup_Performance!$D$2:$D$6,"N/A",0)</f>
        <v>0.05</v>
      </c>
      <c r="L54" s="7">
        <f t="shared" si="0"/>
        <v>2796</v>
      </c>
      <c r="M54" t="s">
        <v>18</v>
      </c>
      <c r="N54" t="str">
        <f>TRIM(CLEAN(Table1[[#This Row],[Employment Status]]))</f>
        <v>Active</v>
      </c>
    </row>
    <row r="55" spans="1:14" x14ac:dyDescent="0.25">
      <c r="A55" t="s">
        <v>68</v>
      </c>
      <c r="B55" t="s">
        <v>202</v>
      </c>
      <c r="C55" t="s">
        <v>17</v>
      </c>
      <c r="D55" t="str">
        <f>_xlfn.XLOOKUP(C55,Lookup_Departments!$A$2:$A$7,Lookup_Departments!$B$2:$B$7,"Invalid Dept_Code",0)</f>
        <v>Sales</v>
      </c>
      <c r="E55" s="25">
        <v>43464</v>
      </c>
      <c r="F55" s="2" t="str">
        <f>TEXT(Table1[[#This Row],[Hire Date  ]],"yyyy")</f>
        <v>2018</v>
      </c>
      <c r="G55" s="8">
        <v>80189</v>
      </c>
      <c r="H55">
        <v>30</v>
      </c>
      <c r="I55" s="4">
        <f ca="1">DATEDIF(E55,TODAY(),"Y")</f>
        <v>7</v>
      </c>
      <c r="J55" s="6" t="str" cm="1">
        <f t="array" ref="J55">_xlfn.IFS(H55&lt;=49,"Needs Improvement",H55&lt;=69,"Developing",H55&lt;=84,"Achieving",H55&lt;=94,"Exceeding",H55&lt;=100,"Outstanding")</f>
        <v>Needs Improvement</v>
      </c>
      <c r="K55" s="6">
        <f>_xlfn.XLOOKUP(J55,Lookup_Performance!$C$2:$C$6,Lookup_Performance!$D$2:$D$6,"N/A",0)</f>
        <v>0</v>
      </c>
      <c r="L55" s="7">
        <f t="shared" si="0"/>
        <v>0</v>
      </c>
      <c r="M55" t="s">
        <v>18</v>
      </c>
      <c r="N55" t="str">
        <f>TRIM(CLEAN(Table1[[#This Row],[Employment Status]]))</f>
        <v>Active</v>
      </c>
    </row>
    <row r="56" spans="1:14" x14ac:dyDescent="0.25">
      <c r="A56" t="s">
        <v>69</v>
      </c>
      <c r="B56" t="s">
        <v>245</v>
      </c>
      <c r="C56" t="s">
        <v>43</v>
      </c>
      <c r="D56" t="str">
        <f>_xlfn.XLOOKUP(C56,Lookup_Departments!$A$2:$A$7,Lookup_Departments!$B$2:$B$7,"Invalid Dept_Code",0)</f>
        <v>Human Resources</v>
      </c>
      <c r="E56" s="25">
        <v>44189</v>
      </c>
      <c r="F56" s="2" t="str">
        <f>TEXT(Table1[[#This Row],[Hire Date  ]],"yyyy")</f>
        <v>2020</v>
      </c>
      <c r="G56" s="8">
        <v>118947</v>
      </c>
      <c r="H56">
        <v>96</v>
      </c>
      <c r="I56" s="4">
        <f ca="1">DATEDIF(E56,TODAY(),"Y")</f>
        <v>5</v>
      </c>
      <c r="J56" s="6" t="str" cm="1">
        <f t="array" ref="J56">_xlfn.IFS(H56&lt;=49,"Needs Improvement",H56&lt;=69,"Developing",H56&lt;=84,"Achieving",H56&lt;=94,"Exceeding",H56&lt;=100,"Outstanding")</f>
        <v>Outstanding</v>
      </c>
      <c r="K56" s="6">
        <f>_xlfn.XLOOKUP(J56,Lookup_Performance!$C$2:$C$6,Lookup_Performance!$D$2:$D$6,"N/A",0)</f>
        <v>0.12</v>
      </c>
      <c r="L56" s="7">
        <f t="shared" si="0"/>
        <v>14273.64</v>
      </c>
      <c r="M56" t="s">
        <v>18</v>
      </c>
      <c r="N56" t="str">
        <f>TRIM(CLEAN(Table1[[#This Row],[Employment Status]]))</f>
        <v>Active</v>
      </c>
    </row>
    <row r="57" spans="1:14" x14ac:dyDescent="0.25">
      <c r="A57" t="s">
        <v>70</v>
      </c>
      <c r="B57" t="s">
        <v>246</v>
      </c>
      <c r="C57" t="s">
        <v>3</v>
      </c>
      <c r="D57" t="str">
        <f>_xlfn.XLOOKUP(C57,Lookup_Departments!$A$2:$A$7,Lookup_Departments!$B$2:$B$7,"Invalid Dept_Code",0)</f>
        <v>Information Technology</v>
      </c>
      <c r="E57" s="25">
        <v>45112</v>
      </c>
      <c r="F57" s="2" t="str">
        <f>TEXT(Table1[[#This Row],[Hire Date  ]],"yyyy")</f>
        <v>2023</v>
      </c>
      <c r="G57" s="8">
        <v>74560</v>
      </c>
      <c r="H57">
        <v>54</v>
      </c>
      <c r="I57" s="4">
        <f ca="1">DATEDIF(E57,TODAY(),"Y")</f>
        <v>3</v>
      </c>
      <c r="J57" s="6" t="str" cm="1">
        <f t="array" ref="J57">_xlfn.IFS(H57&lt;=49,"Needs Improvement",H57&lt;=69,"Developing",H57&lt;=84,"Achieving",H57&lt;=94,"Exceeding",H57&lt;=100,"Outstanding")</f>
        <v>Developing</v>
      </c>
      <c r="K57" s="6">
        <f>_xlfn.XLOOKUP(J57,Lookup_Performance!$C$2:$C$6,Lookup_Performance!$D$2:$D$6,"N/A",0)</f>
        <v>0.02</v>
      </c>
      <c r="L57" s="7">
        <f t="shared" si="0"/>
        <v>1491.2</v>
      </c>
      <c r="M57" t="s">
        <v>18</v>
      </c>
      <c r="N57" t="str">
        <f>TRIM(CLEAN(Table1[[#This Row],[Employment Status]]))</f>
        <v>Active</v>
      </c>
    </row>
    <row r="58" spans="1:14" x14ac:dyDescent="0.25">
      <c r="A58" t="s">
        <v>71</v>
      </c>
      <c r="B58" t="s">
        <v>247</v>
      </c>
      <c r="C58" t="s">
        <v>12</v>
      </c>
      <c r="D58" t="str">
        <f>_xlfn.XLOOKUP(C58,Lookup_Departments!$A$2:$A$7,Lookup_Departments!$B$2:$B$7,"Invalid Dept_Code",0)</f>
        <v>Operations</v>
      </c>
      <c r="E58" s="25">
        <v>44148</v>
      </c>
      <c r="F58" s="2" t="str">
        <f>TEXT(Table1[[#This Row],[Hire Date  ]],"yyyy")</f>
        <v>2020</v>
      </c>
      <c r="G58" s="8">
        <v>75808</v>
      </c>
      <c r="H58">
        <v>75</v>
      </c>
      <c r="I58" s="4">
        <f ca="1">DATEDIF(E58,TODAY(),"Y")</f>
        <v>5</v>
      </c>
      <c r="J58" s="6" t="str" cm="1">
        <f t="array" ref="J58">_xlfn.IFS(H58&lt;=49,"Needs Improvement",H58&lt;=69,"Developing",H58&lt;=84,"Achieving",H58&lt;=94,"Exceeding",H58&lt;=100,"Outstanding")</f>
        <v>Achieving</v>
      </c>
      <c r="K58" s="6">
        <f>_xlfn.XLOOKUP(J58,Lookup_Performance!$C$2:$C$6,Lookup_Performance!$D$2:$D$6,"N/A",0)</f>
        <v>0.05</v>
      </c>
      <c r="L58" s="7">
        <f t="shared" si="0"/>
        <v>3790.4</v>
      </c>
      <c r="M58" t="s">
        <v>18</v>
      </c>
      <c r="N58" t="str">
        <f>TRIM(CLEAN(Table1[[#This Row],[Employment Status]]))</f>
        <v>Active</v>
      </c>
    </row>
    <row r="59" spans="1:14" x14ac:dyDescent="0.25">
      <c r="A59" t="s">
        <v>72</v>
      </c>
      <c r="B59" t="s">
        <v>248</v>
      </c>
      <c r="C59" t="s">
        <v>43</v>
      </c>
      <c r="D59" t="str">
        <f>_xlfn.XLOOKUP(C59,Lookup_Departments!$A$2:$A$7,Lookup_Departments!$B$2:$B$7,"Invalid Dept_Code",0)</f>
        <v>Human Resources</v>
      </c>
      <c r="E59" s="25" t="s">
        <v>73</v>
      </c>
      <c r="F59" s="2" t="str">
        <f>TEXT(Table1[[#This Row],[Hire Date  ]],"yyyy")</f>
        <v>2018</v>
      </c>
      <c r="G59" s="8">
        <v>91655</v>
      </c>
      <c r="H59">
        <v>95</v>
      </c>
      <c r="I59" s="4">
        <f ca="1">DATEDIF(E59,TODAY(),"Y")</f>
        <v>8</v>
      </c>
      <c r="J59" s="6" t="str" cm="1">
        <f t="array" ref="J59">_xlfn.IFS(H59&lt;=49,"Needs Improvement",H59&lt;=69,"Developing",H59&lt;=84,"Achieving",H59&lt;=94,"Exceeding",H59&lt;=100,"Outstanding")</f>
        <v>Outstanding</v>
      </c>
      <c r="K59" s="6">
        <f>_xlfn.XLOOKUP(J59,Lookup_Performance!$C$2:$C$6,Lookup_Performance!$D$2:$D$6,"N/A",0)</f>
        <v>0.12</v>
      </c>
      <c r="L59" s="7">
        <f t="shared" si="0"/>
        <v>10998.6</v>
      </c>
      <c r="M59" t="s">
        <v>18</v>
      </c>
      <c r="N59" t="str">
        <f>TRIM(CLEAN(Table1[[#This Row],[Employment Status]]))</f>
        <v>Active</v>
      </c>
    </row>
    <row r="60" spans="1:14" x14ac:dyDescent="0.25">
      <c r="A60" t="s">
        <v>74</v>
      </c>
      <c r="B60" t="s">
        <v>197</v>
      </c>
      <c r="C60" t="s">
        <v>3</v>
      </c>
      <c r="D60" t="str">
        <f>_xlfn.XLOOKUP(C60,Lookup_Departments!$A$2:$A$7,Lookup_Departments!$B$2:$B$7,"Invalid Dept_Code",0)</f>
        <v>Information Technology</v>
      </c>
      <c r="E60" s="25">
        <v>45255</v>
      </c>
      <c r="F60" s="2" t="str">
        <f>TEXT(Table1[[#This Row],[Hire Date  ]],"yyyy")</f>
        <v>2023</v>
      </c>
      <c r="G60" s="8">
        <v>49435</v>
      </c>
      <c r="H60">
        <v>68</v>
      </c>
      <c r="I60" s="4">
        <f ca="1">DATEDIF(E60,TODAY(),"Y")</f>
        <v>2</v>
      </c>
      <c r="J60" s="6" t="str" cm="1">
        <f t="array" ref="J60">_xlfn.IFS(H60&lt;=49,"Needs Improvement",H60&lt;=69,"Developing",H60&lt;=84,"Achieving",H60&lt;=94,"Exceeding",H60&lt;=100,"Outstanding")</f>
        <v>Developing</v>
      </c>
      <c r="K60" s="6">
        <f>_xlfn.XLOOKUP(J60,Lookup_Performance!$C$2:$C$6,Lookup_Performance!$D$2:$D$6,"N/A",0)</f>
        <v>0.02</v>
      </c>
      <c r="L60" s="7">
        <f t="shared" si="0"/>
        <v>988.7</v>
      </c>
      <c r="M60" t="s">
        <v>10</v>
      </c>
      <c r="N60" t="str">
        <f>TRIM(CLEAN(Table1[[#This Row],[Employment Status]]))</f>
        <v>Left</v>
      </c>
    </row>
    <row r="61" spans="1:14" x14ac:dyDescent="0.25">
      <c r="A61" t="s">
        <v>75</v>
      </c>
      <c r="B61" t="s">
        <v>233</v>
      </c>
      <c r="C61" t="s">
        <v>17</v>
      </c>
      <c r="D61" t="str">
        <f>_xlfn.XLOOKUP(C61,Lookup_Departments!$A$2:$A$7,Lookup_Departments!$B$2:$B$7,"Invalid Dept_Code",0)</f>
        <v>Sales</v>
      </c>
      <c r="E61" s="25">
        <v>45217</v>
      </c>
      <c r="F61" s="2" t="str">
        <f>TEXT(Table1[[#This Row],[Hire Date  ]],"yyyy")</f>
        <v>2023</v>
      </c>
      <c r="G61" s="8">
        <v>110381</v>
      </c>
      <c r="H61">
        <v>93</v>
      </c>
      <c r="I61" s="4">
        <f ca="1">DATEDIF(E61,TODAY(),"Y")</f>
        <v>2</v>
      </c>
      <c r="J61" s="6" t="str" cm="1">
        <f t="array" ref="J61">_xlfn.IFS(H61&lt;=49,"Needs Improvement",H61&lt;=69,"Developing",H61&lt;=84,"Achieving",H61&lt;=94,"Exceeding",H61&lt;=100,"Outstanding")</f>
        <v>Exceeding</v>
      </c>
      <c r="K61" s="6">
        <f>_xlfn.XLOOKUP(J61,Lookup_Performance!$C$2:$C$6,Lookup_Performance!$D$2:$D$6,"N/A",0)</f>
        <v>0.08</v>
      </c>
      <c r="L61" s="7">
        <f t="shared" si="0"/>
        <v>8830.48</v>
      </c>
      <c r="M61" t="s">
        <v>18</v>
      </c>
      <c r="N61" t="str">
        <f>TRIM(CLEAN(Table1[[#This Row],[Employment Status]]))</f>
        <v>Active</v>
      </c>
    </row>
    <row r="62" spans="1:14" x14ac:dyDescent="0.25">
      <c r="A62" t="s">
        <v>76</v>
      </c>
      <c r="B62" t="s">
        <v>249</v>
      </c>
      <c r="C62" t="s">
        <v>43</v>
      </c>
      <c r="D62" t="str">
        <f>_xlfn.XLOOKUP(C62,Lookup_Departments!$A$2:$A$7,Lookup_Departments!$B$2:$B$7,"Invalid Dept_Code",0)</f>
        <v>Human Resources</v>
      </c>
      <c r="E62" s="25">
        <v>44079</v>
      </c>
      <c r="F62" s="2" t="str">
        <f>TEXT(Table1[[#This Row],[Hire Date  ]],"yyyy")</f>
        <v>2020</v>
      </c>
      <c r="G62" s="8">
        <v>114748</v>
      </c>
      <c r="H62">
        <v>33</v>
      </c>
      <c r="I62" s="4">
        <f ca="1">DATEDIF(E62,TODAY(),"Y")</f>
        <v>5</v>
      </c>
      <c r="J62" s="6" t="str" cm="1">
        <f t="array" ref="J62">_xlfn.IFS(H62&lt;=49,"Needs Improvement",H62&lt;=69,"Developing",H62&lt;=84,"Achieving",H62&lt;=94,"Exceeding",H62&lt;=100,"Outstanding")</f>
        <v>Needs Improvement</v>
      </c>
      <c r="K62" s="6">
        <f>_xlfn.XLOOKUP(J62,Lookup_Performance!$C$2:$C$6,Lookup_Performance!$D$2:$D$6,"N/A",0)</f>
        <v>0</v>
      </c>
      <c r="L62" s="7">
        <f t="shared" si="0"/>
        <v>0</v>
      </c>
      <c r="M62" t="s">
        <v>18</v>
      </c>
      <c r="N62" t="str">
        <f>TRIM(CLEAN(Table1[[#This Row],[Employment Status]]))</f>
        <v>Active</v>
      </c>
    </row>
    <row r="63" spans="1:14" x14ac:dyDescent="0.25">
      <c r="A63" t="s">
        <v>77</v>
      </c>
      <c r="B63" t="s">
        <v>250</v>
      </c>
      <c r="C63" t="s">
        <v>12</v>
      </c>
      <c r="D63" t="str">
        <f>_xlfn.XLOOKUP(C63,Lookup_Departments!$A$2:$A$7,Lookup_Departments!$B$2:$B$7,"Invalid Dept_Code",0)</f>
        <v>Operations</v>
      </c>
      <c r="E63" s="25">
        <v>42800</v>
      </c>
      <c r="F63" s="2" t="str">
        <f>TEXT(Table1[[#This Row],[Hire Date  ]],"yyyy")</f>
        <v>2017</v>
      </c>
      <c r="G63" s="8">
        <v>63302</v>
      </c>
      <c r="H63">
        <v>91</v>
      </c>
      <c r="I63" s="4">
        <f ca="1">DATEDIF(E63,TODAY(),"Y")</f>
        <v>9</v>
      </c>
      <c r="J63" s="6" t="str" cm="1">
        <f t="array" ref="J63">_xlfn.IFS(H63&lt;=49,"Needs Improvement",H63&lt;=69,"Developing",H63&lt;=84,"Achieving",H63&lt;=94,"Exceeding",H63&lt;=100,"Outstanding")</f>
        <v>Exceeding</v>
      </c>
      <c r="K63" s="6">
        <f>_xlfn.XLOOKUP(J63,Lookup_Performance!$C$2:$C$6,Lookup_Performance!$D$2:$D$6,"N/A",0)</f>
        <v>0.08</v>
      </c>
      <c r="L63" s="7">
        <f t="shared" si="0"/>
        <v>5064.16</v>
      </c>
      <c r="M63" t="s">
        <v>18</v>
      </c>
      <c r="N63" t="str">
        <f>TRIM(CLEAN(Table1[[#This Row],[Employment Status]]))</f>
        <v>Active</v>
      </c>
    </row>
    <row r="64" spans="1:14" x14ac:dyDescent="0.25">
      <c r="A64" t="s">
        <v>78</v>
      </c>
      <c r="B64" t="s">
        <v>251</v>
      </c>
      <c r="C64" t="s">
        <v>3</v>
      </c>
      <c r="D64" t="str">
        <f>_xlfn.XLOOKUP(C64,Lookup_Departments!$A$2:$A$7,Lookup_Departments!$B$2:$B$7,"Invalid Dept_Code",0)</f>
        <v>Information Technology</v>
      </c>
      <c r="E64" s="25">
        <v>42122</v>
      </c>
      <c r="F64" s="2" t="str">
        <f>TEXT(Table1[[#This Row],[Hire Date  ]],"yyyy")</f>
        <v>2015</v>
      </c>
      <c r="G64" s="8">
        <v>75519</v>
      </c>
      <c r="H64">
        <v>64</v>
      </c>
      <c r="I64" s="4">
        <f ca="1">DATEDIF(E64,TODAY(),"Y")</f>
        <v>11</v>
      </c>
      <c r="J64" s="6" t="str" cm="1">
        <f t="array" ref="J64">_xlfn.IFS(H64&lt;=49,"Needs Improvement",H64&lt;=69,"Developing",H64&lt;=84,"Achieving",H64&lt;=94,"Exceeding",H64&lt;=100,"Outstanding")</f>
        <v>Developing</v>
      </c>
      <c r="K64" s="6">
        <f>_xlfn.XLOOKUP(J64,Lookup_Performance!$C$2:$C$6,Lookup_Performance!$D$2:$D$6,"N/A",0)</f>
        <v>0.02</v>
      </c>
      <c r="L64" s="7">
        <f t="shared" si="0"/>
        <v>1510.38</v>
      </c>
      <c r="M64" t="s">
        <v>18</v>
      </c>
      <c r="N64" t="str">
        <f>TRIM(CLEAN(Table1[[#This Row],[Employment Status]]))</f>
        <v>Active</v>
      </c>
    </row>
    <row r="65" spans="1:14" x14ac:dyDescent="0.25">
      <c r="A65" t="s">
        <v>79</v>
      </c>
      <c r="B65" t="s">
        <v>243</v>
      </c>
      <c r="C65" t="s">
        <v>8</v>
      </c>
      <c r="D65" t="str">
        <f>_xlfn.XLOOKUP(C65,Lookup_Departments!$A$2:$A$7,Lookup_Departments!$B$2:$B$7,"Invalid Dept_Code",0)</f>
        <v>Finance</v>
      </c>
      <c r="E65" s="25">
        <v>42838</v>
      </c>
      <c r="F65" s="2" t="str">
        <f>TEXT(Table1[[#This Row],[Hire Date  ]],"yyyy")</f>
        <v>2017</v>
      </c>
      <c r="G65" s="8">
        <v>103891</v>
      </c>
      <c r="H65">
        <v>80</v>
      </c>
      <c r="I65" s="4">
        <f ca="1">DATEDIF(E65,TODAY(),"Y")</f>
        <v>9</v>
      </c>
      <c r="J65" s="6" t="str" cm="1">
        <f t="array" ref="J65">_xlfn.IFS(H65&lt;=49,"Needs Improvement",H65&lt;=69,"Developing",H65&lt;=84,"Achieving",H65&lt;=94,"Exceeding",H65&lt;=100,"Outstanding")</f>
        <v>Achieving</v>
      </c>
      <c r="K65" s="6">
        <f>_xlfn.XLOOKUP(J65,Lookup_Performance!$C$2:$C$6,Lookup_Performance!$D$2:$D$6,"N/A",0)</f>
        <v>0.05</v>
      </c>
      <c r="L65" s="7">
        <f t="shared" si="0"/>
        <v>5194.55</v>
      </c>
      <c r="M65" t="s">
        <v>18</v>
      </c>
      <c r="N65" t="str">
        <f>TRIM(CLEAN(Table1[[#This Row],[Employment Status]]))</f>
        <v>Active</v>
      </c>
    </row>
    <row r="66" spans="1:14" x14ac:dyDescent="0.25">
      <c r="A66" t="s">
        <v>80</v>
      </c>
      <c r="B66" t="s">
        <v>252</v>
      </c>
      <c r="C66" t="s">
        <v>12</v>
      </c>
      <c r="D66" t="str">
        <f>_xlfn.XLOOKUP(C66,Lookup_Departments!$A$2:$A$7,Lookup_Departments!$B$2:$B$7,"Invalid Dept_Code",0)</f>
        <v>Operations</v>
      </c>
      <c r="E66" s="25">
        <v>44827</v>
      </c>
      <c r="F66" s="2" t="str">
        <f>TEXT(Table1[[#This Row],[Hire Date  ]],"yyyy")</f>
        <v>2022</v>
      </c>
      <c r="G66" s="8">
        <v>75808</v>
      </c>
      <c r="H66">
        <v>46</v>
      </c>
      <c r="I66" s="4">
        <f ca="1">DATEDIF(E66,TODAY(),"Y")</f>
        <v>3</v>
      </c>
      <c r="J66" s="6" t="str" cm="1">
        <f t="array" ref="J66">_xlfn.IFS(H66&lt;=49,"Needs Improvement",H66&lt;=69,"Developing",H66&lt;=84,"Achieving",H66&lt;=94,"Exceeding",H66&lt;=100,"Outstanding")</f>
        <v>Needs Improvement</v>
      </c>
      <c r="K66" s="6">
        <f>_xlfn.XLOOKUP(J66,Lookup_Performance!$C$2:$C$6,Lookup_Performance!$D$2:$D$6,"N/A",0)</f>
        <v>0</v>
      </c>
      <c r="L66" s="7">
        <f t="shared" si="0"/>
        <v>0</v>
      </c>
      <c r="M66" t="s">
        <v>10</v>
      </c>
      <c r="N66" t="str">
        <f>TRIM(CLEAN(Table1[[#This Row],[Employment Status]]))</f>
        <v>Left</v>
      </c>
    </row>
    <row r="67" spans="1:14" x14ac:dyDescent="0.25">
      <c r="A67" t="s">
        <v>81</v>
      </c>
      <c r="B67" t="s">
        <v>253</v>
      </c>
      <c r="C67" t="s">
        <v>5</v>
      </c>
      <c r="D67" t="str">
        <f>_xlfn.XLOOKUP(C67,Lookup_Departments!$A$2:$A$7,Lookup_Departments!$B$2:$B$7,"Invalid Dept_Code",0)</f>
        <v>Marketing</v>
      </c>
      <c r="E67" s="25" t="s">
        <v>82</v>
      </c>
      <c r="F67" s="2" t="str">
        <f>TEXT(Table1[[#This Row],[Hire Date  ]],"yyyy")</f>
        <v>2016</v>
      </c>
      <c r="G67" s="8">
        <v>50936</v>
      </c>
      <c r="H67">
        <v>99</v>
      </c>
      <c r="I67" s="4">
        <f ca="1">DATEDIF(E67,TODAY(),"Y")</f>
        <v>9</v>
      </c>
      <c r="J67" s="6" t="str" cm="1">
        <f t="array" ref="J67">_xlfn.IFS(H67&lt;=49,"Needs Improvement",H67&lt;=69,"Developing",H67&lt;=84,"Achieving",H67&lt;=94,"Exceeding",H67&lt;=100,"Outstanding")</f>
        <v>Outstanding</v>
      </c>
      <c r="K67" s="6">
        <f>_xlfn.XLOOKUP(J67,Lookup_Performance!$C$2:$C$6,Lookup_Performance!$D$2:$D$6,"N/A",0)</f>
        <v>0.12</v>
      </c>
      <c r="L67" s="7">
        <f t="shared" ref="L67:L130" si="1">G67*K67</f>
        <v>6112.32</v>
      </c>
      <c r="M67" t="s">
        <v>18</v>
      </c>
      <c r="N67" t="str">
        <f>TRIM(CLEAN(Table1[[#This Row],[Employment Status]]))</f>
        <v>Active</v>
      </c>
    </row>
    <row r="68" spans="1:14" x14ac:dyDescent="0.25">
      <c r="A68" t="s">
        <v>83</v>
      </c>
      <c r="B68" t="s">
        <v>254</v>
      </c>
      <c r="C68" t="s">
        <v>17</v>
      </c>
      <c r="D68" t="str">
        <f>_xlfn.XLOOKUP(C68,Lookup_Departments!$A$2:$A$7,Lookup_Departments!$B$2:$B$7,"Invalid Dept_Code",0)</f>
        <v>Sales</v>
      </c>
      <c r="E68" s="25">
        <v>42818</v>
      </c>
      <c r="F68" s="2" t="str">
        <f>TEXT(Table1[[#This Row],[Hire Date  ]],"yyyy")</f>
        <v>2017</v>
      </c>
      <c r="G68" s="8">
        <v>111240</v>
      </c>
      <c r="H68">
        <v>68</v>
      </c>
      <c r="I68" s="4">
        <f ca="1">DATEDIF(E68,TODAY(),"Y")</f>
        <v>9</v>
      </c>
      <c r="J68" s="6" t="str" cm="1">
        <f t="array" ref="J68">_xlfn.IFS(H68&lt;=49,"Needs Improvement",H68&lt;=69,"Developing",H68&lt;=84,"Achieving",H68&lt;=94,"Exceeding",H68&lt;=100,"Outstanding")</f>
        <v>Developing</v>
      </c>
      <c r="K68" s="6">
        <f>_xlfn.XLOOKUP(J68,Lookup_Performance!$C$2:$C$6,Lookup_Performance!$D$2:$D$6,"N/A",0)</f>
        <v>0.02</v>
      </c>
      <c r="L68" s="7">
        <f t="shared" si="1"/>
        <v>2224.8000000000002</v>
      </c>
      <c r="M68" t="s">
        <v>18</v>
      </c>
      <c r="N68" t="str">
        <f>TRIM(CLEAN(Table1[[#This Row],[Employment Status]]))</f>
        <v>Active</v>
      </c>
    </row>
    <row r="69" spans="1:14" x14ac:dyDescent="0.25">
      <c r="A69" t="s">
        <v>84</v>
      </c>
      <c r="B69" t="s">
        <v>255</v>
      </c>
      <c r="C69" t="s">
        <v>43</v>
      </c>
      <c r="D69" t="str">
        <f>_xlfn.XLOOKUP(C69,Lookup_Departments!$A$2:$A$7,Lookup_Departments!$B$2:$B$7,"Invalid Dept_Code",0)</f>
        <v>Human Resources</v>
      </c>
      <c r="E69" s="25">
        <v>43590</v>
      </c>
      <c r="F69" s="2" t="str">
        <f>TEXT(Table1[[#This Row],[Hire Date  ]],"yyyy")</f>
        <v>2019</v>
      </c>
      <c r="G69" s="8">
        <v>51567</v>
      </c>
      <c r="H69">
        <v>87</v>
      </c>
      <c r="I69" s="4">
        <f ca="1">DATEDIF(E69,TODAY(),"Y")</f>
        <v>7</v>
      </c>
      <c r="J69" s="6" t="str" cm="1">
        <f t="array" ref="J69">_xlfn.IFS(H69&lt;=49,"Needs Improvement",H69&lt;=69,"Developing",H69&lt;=84,"Achieving",H69&lt;=94,"Exceeding",H69&lt;=100,"Outstanding")</f>
        <v>Exceeding</v>
      </c>
      <c r="K69" s="6">
        <f>_xlfn.XLOOKUP(J69,Lookup_Performance!$C$2:$C$6,Lookup_Performance!$D$2:$D$6,"N/A",0)</f>
        <v>0.08</v>
      </c>
      <c r="L69" s="7">
        <f t="shared" si="1"/>
        <v>4125.3599999999997</v>
      </c>
      <c r="M69" t="s">
        <v>55</v>
      </c>
      <c r="N69" t="str">
        <f>TRIM(CLEAN(Table1[[#This Row],[Employment Status]]))</f>
        <v>Resigned</v>
      </c>
    </row>
    <row r="70" spans="1:14" x14ac:dyDescent="0.25">
      <c r="A70" t="s">
        <v>85</v>
      </c>
      <c r="B70" t="s">
        <v>256</v>
      </c>
      <c r="C70" t="s">
        <v>43</v>
      </c>
      <c r="D70" t="str">
        <f>_xlfn.XLOOKUP(C70,Lookup_Departments!$A$2:$A$7,Lookup_Departments!$B$2:$B$7,"Invalid Dept_Code",0)</f>
        <v>Human Resources</v>
      </c>
      <c r="E70" s="25">
        <v>44402</v>
      </c>
      <c r="F70" s="2" t="str">
        <f>TEXT(Table1[[#This Row],[Hire Date  ]],"yyyy")</f>
        <v>2021</v>
      </c>
      <c r="G70" s="8">
        <v>86349</v>
      </c>
      <c r="H70">
        <v>36</v>
      </c>
      <c r="I70" s="4">
        <f ca="1">DATEDIF(E70,TODAY(),"Y")</f>
        <v>4</v>
      </c>
      <c r="J70" s="6" t="str" cm="1">
        <f t="array" ref="J70">_xlfn.IFS(H70&lt;=49,"Needs Improvement",H70&lt;=69,"Developing",H70&lt;=84,"Achieving",H70&lt;=94,"Exceeding",H70&lt;=100,"Outstanding")</f>
        <v>Needs Improvement</v>
      </c>
      <c r="K70" s="6">
        <f>_xlfn.XLOOKUP(J70,Lookup_Performance!$C$2:$C$6,Lookup_Performance!$D$2:$D$6,"N/A",0)</f>
        <v>0</v>
      </c>
      <c r="L70" s="7">
        <f t="shared" si="1"/>
        <v>0</v>
      </c>
      <c r="M70" t="s">
        <v>18</v>
      </c>
      <c r="N70" t="str">
        <f>TRIM(CLEAN(Table1[[#This Row],[Employment Status]]))</f>
        <v>Active</v>
      </c>
    </row>
    <row r="71" spans="1:14" x14ac:dyDescent="0.25">
      <c r="A71" t="s">
        <v>86</v>
      </c>
      <c r="B71" t="s">
        <v>251</v>
      </c>
      <c r="C71" t="s">
        <v>43</v>
      </c>
      <c r="D71" t="str">
        <f>_xlfn.XLOOKUP(C71,Lookup_Departments!$A$2:$A$7,Lookup_Departments!$B$2:$B$7,"Invalid Dept_Code",0)</f>
        <v>Human Resources</v>
      </c>
      <c r="E71" s="25">
        <v>43008</v>
      </c>
      <c r="F71" s="2" t="str">
        <f>TEXT(Table1[[#This Row],[Hire Date  ]],"yyyy")</f>
        <v>2017</v>
      </c>
      <c r="G71" s="8">
        <v>55270</v>
      </c>
      <c r="H71">
        <v>87</v>
      </c>
      <c r="I71" s="4">
        <f ca="1">DATEDIF(E71,TODAY(),"Y")</f>
        <v>8</v>
      </c>
      <c r="J71" s="6" t="str" cm="1">
        <f t="array" ref="J71">_xlfn.IFS(H71&lt;=49,"Needs Improvement",H71&lt;=69,"Developing",H71&lt;=84,"Achieving",H71&lt;=94,"Exceeding",H71&lt;=100,"Outstanding")</f>
        <v>Exceeding</v>
      </c>
      <c r="K71" s="6">
        <f>_xlfn.XLOOKUP(J71,Lookup_Performance!$C$2:$C$6,Lookup_Performance!$D$2:$D$6,"N/A",0)</f>
        <v>0.08</v>
      </c>
      <c r="L71" s="7">
        <f t="shared" si="1"/>
        <v>4421.6000000000004</v>
      </c>
      <c r="M71" t="s">
        <v>18</v>
      </c>
      <c r="N71" t="str">
        <f>TRIM(CLEAN(Table1[[#This Row],[Employment Status]]))</f>
        <v>Active</v>
      </c>
    </row>
    <row r="72" spans="1:14" x14ac:dyDescent="0.25">
      <c r="A72" t="s">
        <v>87</v>
      </c>
      <c r="B72" t="s">
        <v>257</v>
      </c>
      <c r="C72" t="s">
        <v>17</v>
      </c>
      <c r="D72" t="str">
        <f>_xlfn.XLOOKUP(C72,Lookup_Departments!$A$2:$A$7,Lookup_Departments!$B$2:$B$7,"Invalid Dept_Code",0)</f>
        <v>Sales</v>
      </c>
      <c r="E72" s="25">
        <v>42192</v>
      </c>
      <c r="F72" s="2" t="str">
        <f>TEXT(Table1[[#This Row],[Hire Date  ]],"yyyy")</f>
        <v>2015</v>
      </c>
      <c r="G72" s="8">
        <v>65235</v>
      </c>
      <c r="H72">
        <v>97</v>
      </c>
      <c r="I72" s="4">
        <f ca="1">DATEDIF(E72,TODAY(),"Y")</f>
        <v>11</v>
      </c>
      <c r="J72" s="6" t="str" cm="1">
        <f t="array" ref="J72">_xlfn.IFS(H72&lt;=49,"Needs Improvement",H72&lt;=69,"Developing",H72&lt;=84,"Achieving",H72&lt;=94,"Exceeding",H72&lt;=100,"Outstanding")</f>
        <v>Outstanding</v>
      </c>
      <c r="K72" s="6">
        <f>_xlfn.XLOOKUP(J72,Lookup_Performance!$C$2:$C$6,Lookup_Performance!$D$2:$D$6,"N/A",0)</f>
        <v>0.12</v>
      </c>
      <c r="L72" s="7">
        <f t="shared" si="1"/>
        <v>7828.2</v>
      </c>
      <c r="M72" t="s">
        <v>18</v>
      </c>
      <c r="N72" t="str">
        <f>TRIM(CLEAN(Table1[[#This Row],[Employment Status]]))</f>
        <v>Active</v>
      </c>
    </row>
    <row r="73" spans="1:14" x14ac:dyDescent="0.25">
      <c r="A73" t="s">
        <v>88</v>
      </c>
      <c r="B73" t="s">
        <v>258</v>
      </c>
      <c r="C73" t="s">
        <v>17</v>
      </c>
      <c r="D73" t="str">
        <f>_xlfn.XLOOKUP(C73,Lookup_Departments!$A$2:$A$7,Lookup_Departments!$B$2:$B$7,"Invalid Dept_Code",0)</f>
        <v>Sales</v>
      </c>
      <c r="E73" s="25">
        <v>43283</v>
      </c>
      <c r="F73" s="2" t="str">
        <f>TEXT(Table1[[#This Row],[Hire Date  ]],"yyyy")</f>
        <v>2018</v>
      </c>
      <c r="G73" s="8">
        <v>80907</v>
      </c>
      <c r="H73">
        <v>72</v>
      </c>
      <c r="I73" s="4">
        <f ca="1">DATEDIF(E73,TODAY(),"Y")</f>
        <v>8</v>
      </c>
      <c r="J73" s="6" t="str" cm="1">
        <f t="array" ref="J73">_xlfn.IFS(H73&lt;=49,"Needs Improvement",H73&lt;=69,"Developing",H73&lt;=84,"Achieving",H73&lt;=94,"Exceeding",H73&lt;=100,"Outstanding")</f>
        <v>Achieving</v>
      </c>
      <c r="K73" s="6">
        <f>_xlfn.XLOOKUP(J73,Lookup_Performance!$C$2:$C$6,Lookup_Performance!$D$2:$D$6,"N/A",0)</f>
        <v>0.05</v>
      </c>
      <c r="L73" s="7">
        <f t="shared" si="1"/>
        <v>4045.3500000000004</v>
      </c>
      <c r="M73" t="s">
        <v>10</v>
      </c>
      <c r="N73" t="str">
        <f>TRIM(CLEAN(Table1[[#This Row],[Employment Status]]))</f>
        <v>Left</v>
      </c>
    </row>
    <row r="74" spans="1:14" x14ac:dyDescent="0.25">
      <c r="A74" t="s">
        <v>89</v>
      </c>
      <c r="B74" t="s">
        <v>259</v>
      </c>
      <c r="C74" t="s">
        <v>17</v>
      </c>
      <c r="D74" t="str">
        <f>_xlfn.XLOOKUP(C74,Lookup_Departments!$A$2:$A$7,Lookup_Departments!$B$2:$B$7,"Invalid Dept_Code",0)</f>
        <v>Sales</v>
      </c>
      <c r="E74" s="25">
        <v>44819</v>
      </c>
      <c r="F74" s="2" t="str">
        <f>TEXT(Table1[[#This Row],[Hire Date  ]],"yyyy")</f>
        <v>2022</v>
      </c>
      <c r="G74" s="8">
        <v>80907</v>
      </c>
      <c r="H74">
        <v>65</v>
      </c>
      <c r="I74" s="4">
        <f ca="1">DATEDIF(E74,TODAY(),"Y")</f>
        <v>3</v>
      </c>
      <c r="J74" s="6" t="str" cm="1">
        <f t="array" ref="J74">_xlfn.IFS(H74&lt;=49,"Needs Improvement",H74&lt;=69,"Developing",H74&lt;=84,"Achieving",H74&lt;=94,"Exceeding",H74&lt;=100,"Outstanding")</f>
        <v>Developing</v>
      </c>
      <c r="K74" s="6">
        <f>_xlfn.XLOOKUP(J74,Lookup_Performance!$C$2:$C$6,Lookup_Performance!$D$2:$D$6,"N/A",0)</f>
        <v>0.02</v>
      </c>
      <c r="L74" s="7">
        <f t="shared" si="1"/>
        <v>1618.14</v>
      </c>
      <c r="M74" t="s">
        <v>10</v>
      </c>
      <c r="N74" t="str">
        <f>TRIM(CLEAN(Table1[[#This Row],[Employment Status]]))</f>
        <v>Left</v>
      </c>
    </row>
    <row r="75" spans="1:14" x14ac:dyDescent="0.25">
      <c r="A75" t="s">
        <v>90</v>
      </c>
      <c r="B75" t="s">
        <v>260</v>
      </c>
      <c r="C75" t="s">
        <v>17</v>
      </c>
      <c r="D75" t="str">
        <f>_xlfn.XLOOKUP(C75,Lookup_Departments!$A$2:$A$7,Lookup_Departments!$B$2:$B$7,"Invalid Dept_Code",0)</f>
        <v>Sales</v>
      </c>
      <c r="E75" s="25">
        <v>42249</v>
      </c>
      <c r="F75" s="2" t="str">
        <f>TEXT(Table1[[#This Row],[Hire Date  ]],"yyyy")</f>
        <v>2015</v>
      </c>
      <c r="G75" s="8">
        <v>80907</v>
      </c>
      <c r="H75">
        <v>67</v>
      </c>
      <c r="I75" s="4">
        <f ca="1">DATEDIF(E75,TODAY(),"Y")</f>
        <v>10</v>
      </c>
      <c r="J75" s="6" t="str" cm="1">
        <f t="array" ref="J75">_xlfn.IFS(H75&lt;=49,"Needs Improvement",H75&lt;=69,"Developing",H75&lt;=84,"Achieving",H75&lt;=94,"Exceeding",H75&lt;=100,"Outstanding")</f>
        <v>Developing</v>
      </c>
      <c r="K75" s="6">
        <f>_xlfn.XLOOKUP(J75,Lookup_Performance!$C$2:$C$6,Lookup_Performance!$D$2:$D$6,"N/A",0)</f>
        <v>0.02</v>
      </c>
      <c r="L75" s="7">
        <f t="shared" si="1"/>
        <v>1618.14</v>
      </c>
      <c r="M75" t="s">
        <v>18</v>
      </c>
      <c r="N75" t="str">
        <f>TRIM(CLEAN(Table1[[#This Row],[Employment Status]]))</f>
        <v>Active</v>
      </c>
    </row>
    <row r="76" spans="1:14" x14ac:dyDescent="0.25">
      <c r="A76" t="s">
        <v>91</v>
      </c>
      <c r="B76" t="s">
        <v>261</v>
      </c>
      <c r="C76" t="s">
        <v>12</v>
      </c>
      <c r="D76" t="str">
        <f>_xlfn.XLOOKUP(C76,Lookup_Departments!$A$2:$A$7,Lookup_Departments!$B$2:$B$7,"Invalid Dept_Code",0)</f>
        <v>Operations</v>
      </c>
      <c r="E76" s="25">
        <v>42654</v>
      </c>
      <c r="F76" s="2" t="str">
        <f>TEXT(Table1[[#This Row],[Hire Date  ]],"yyyy")</f>
        <v>2016</v>
      </c>
      <c r="G76" s="8">
        <v>48823</v>
      </c>
      <c r="H76">
        <v>34</v>
      </c>
      <c r="I76" s="4">
        <f ca="1">DATEDIF(E76,TODAY(),"Y")</f>
        <v>9</v>
      </c>
      <c r="J76" s="6" t="str" cm="1">
        <f t="array" ref="J76">_xlfn.IFS(H76&lt;=49,"Needs Improvement",H76&lt;=69,"Developing",H76&lt;=84,"Achieving",H76&lt;=94,"Exceeding",H76&lt;=100,"Outstanding")</f>
        <v>Needs Improvement</v>
      </c>
      <c r="K76" s="6">
        <f>_xlfn.XLOOKUP(J76,Lookup_Performance!$C$2:$C$6,Lookup_Performance!$D$2:$D$6,"N/A",0)</f>
        <v>0</v>
      </c>
      <c r="L76" s="7">
        <f t="shared" si="1"/>
        <v>0</v>
      </c>
      <c r="M76" t="s">
        <v>18</v>
      </c>
      <c r="N76" t="str">
        <f>TRIM(CLEAN(Table1[[#This Row],[Employment Status]]))</f>
        <v>Active</v>
      </c>
    </row>
    <row r="77" spans="1:14" x14ac:dyDescent="0.25">
      <c r="A77" t="s">
        <v>92</v>
      </c>
      <c r="B77" t="s">
        <v>260</v>
      </c>
      <c r="C77" t="s">
        <v>8</v>
      </c>
      <c r="D77" t="str">
        <f>_xlfn.XLOOKUP(C77,Lookup_Departments!$A$2:$A$7,Lookup_Departments!$B$2:$B$7,"Invalid Dept_Code",0)</f>
        <v>Finance</v>
      </c>
      <c r="E77" s="25">
        <v>43575</v>
      </c>
      <c r="F77" s="2" t="str">
        <f>TEXT(Table1[[#This Row],[Hire Date  ]],"yyyy")</f>
        <v>2019</v>
      </c>
      <c r="G77" s="8">
        <v>45196</v>
      </c>
      <c r="H77">
        <v>78</v>
      </c>
      <c r="I77" s="4">
        <f ca="1">DATEDIF(E77,TODAY(),"Y")</f>
        <v>7</v>
      </c>
      <c r="J77" s="6" t="str" cm="1">
        <f t="array" ref="J77">_xlfn.IFS(H77&lt;=49,"Needs Improvement",H77&lt;=69,"Developing",H77&lt;=84,"Achieving",H77&lt;=94,"Exceeding",H77&lt;=100,"Outstanding")</f>
        <v>Achieving</v>
      </c>
      <c r="K77" s="6">
        <f>_xlfn.XLOOKUP(J77,Lookup_Performance!$C$2:$C$6,Lookup_Performance!$D$2:$D$6,"N/A",0)</f>
        <v>0.05</v>
      </c>
      <c r="L77" s="7">
        <f t="shared" si="1"/>
        <v>2259.8000000000002</v>
      </c>
      <c r="M77" t="s">
        <v>10</v>
      </c>
      <c r="N77" t="str">
        <f>TRIM(CLEAN(Table1[[#This Row],[Employment Status]]))</f>
        <v>Left</v>
      </c>
    </row>
    <row r="78" spans="1:14" x14ac:dyDescent="0.25">
      <c r="A78" t="s">
        <v>93</v>
      </c>
      <c r="B78" t="s">
        <v>262</v>
      </c>
      <c r="C78" t="s">
        <v>3</v>
      </c>
      <c r="D78" t="str">
        <f>_xlfn.XLOOKUP(C78,Lookup_Departments!$A$2:$A$7,Lookup_Departments!$B$2:$B$7,"Invalid Dept_Code",0)</f>
        <v>Information Technology</v>
      </c>
      <c r="E78" s="25" t="s">
        <v>94</v>
      </c>
      <c r="F78" s="2" t="str">
        <f>TEXT(Table1[[#This Row],[Hire Date  ]],"yyyy")</f>
        <v>2017</v>
      </c>
      <c r="G78" s="8">
        <v>86246</v>
      </c>
      <c r="H78">
        <v>61</v>
      </c>
      <c r="I78" s="4">
        <f ca="1">DATEDIF(E78,TODAY(),"Y")</f>
        <v>9</v>
      </c>
      <c r="J78" s="6" t="str" cm="1">
        <f t="array" ref="J78">_xlfn.IFS(H78&lt;=49,"Needs Improvement",H78&lt;=69,"Developing",H78&lt;=84,"Achieving",H78&lt;=94,"Exceeding",H78&lt;=100,"Outstanding")</f>
        <v>Developing</v>
      </c>
      <c r="K78" s="6">
        <f>_xlfn.XLOOKUP(J78,Lookup_Performance!$C$2:$C$6,Lookup_Performance!$D$2:$D$6,"N/A",0)</f>
        <v>0.02</v>
      </c>
      <c r="L78" s="7">
        <f t="shared" si="1"/>
        <v>1724.92</v>
      </c>
      <c r="M78" t="s">
        <v>18</v>
      </c>
      <c r="N78" t="str">
        <f>TRIM(CLEAN(Table1[[#This Row],[Employment Status]]))</f>
        <v>Active</v>
      </c>
    </row>
    <row r="79" spans="1:14" x14ac:dyDescent="0.25">
      <c r="A79" t="s">
        <v>95</v>
      </c>
      <c r="B79" t="s">
        <v>207</v>
      </c>
      <c r="C79" t="s">
        <v>17</v>
      </c>
      <c r="D79" t="str">
        <f>_xlfn.XLOOKUP(C79,Lookup_Departments!$A$2:$A$7,Lookup_Departments!$B$2:$B$7,"Invalid Dept_Code",0)</f>
        <v>Sales</v>
      </c>
      <c r="E79" s="25" t="s">
        <v>96</v>
      </c>
      <c r="F79" s="2" t="str">
        <f>TEXT(Table1[[#This Row],[Hire Date  ]],"yyyy")</f>
        <v>2021</v>
      </c>
      <c r="G79" s="8">
        <v>70359</v>
      </c>
      <c r="H79">
        <v>74</v>
      </c>
      <c r="I79" s="4">
        <f ca="1">DATEDIF(E79,TODAY(),"Y")</f>
        <v>4</v>
      </c>
      <c r="J79" s="6" t="str" cm="1">
        <f t="array" ref="J79">_xlfn.IFS(H79&lt;=49,"Needs Improvement",H79&lt;=69,"Developing",H79&lt;=84,"Achieving",H79&lt;=94,"Exceeding",H79&lt;=100,"Outstanding")</f>
        <v>Achieving</v>
      </c>
      <c r="K79" s="6">
        <f>_xlfn.XLOOKUP(J79,Lookup_Performance!$C$2:$C$6,Lookup_Performance!$D$2:$D$6,"N/A",0)</f>
        <v>0.05</v>
      </c>
      <c r="L79" s="7">
        <f t="shared" si="1"/>
        <v>3517.9500000000003</v>
      </c>
      <c r="M79" t="s">
        <v>10</v>
      </c>
      <c r="N79" t="str">
        <f>TRIM(CLEAN(Table1[[#This Row],[Employment Status]]))</f>
        <v>Left</v>
      </c>
    </row>
    <row r="80" spans="1:14" x14ac:dyDescent="0.25">
      <c r="A80" t="s">
        <v>97</v>
      </c>
      <c r="B80" t="s">
        <v>232</v>
      </c>
      <c r="C80" t="s">
        <v>5</v>
      </c>
      <c r="D80" t="str">
        <f>_xlfn.XLOOKUP(C80,Lookup_Departments!$A$2:$A$7,Lookup_Departments!$B$2:$B$7,"Invalid Dept_Code",0)</f>
        <v>Marketing</v>
      </c>
      <c r="E80" s="25">
        <v>43599</v>
      </c>
      <c r="F80" s="2" t="str">
        <f>TEXT(Table1[[#This Row],[Hire Date  ]],"yyyy")</f>
        <v>2019</v>
      </c>
      <c r="G80" s="8">
        <v>88689</v>
      </c>
      <c r="H80">
        <v>94</v>
      </c>
      <c r="I80" s="4">
        <f ca="1">DATEDIF(E80,TODAY(),"Y")</f>
        <v>7</v>
      </c>
      <c r="J80" s="6" t="str" cm="1">
        <f t="array" ref="J80">_xlfn.IFS(H80&lt;=49,"Needs Improvement",H80&lt;=69,"Developing",H80&lt;=84,"Achieving",H80&lt;=94,"Exceeding",H80&lt;=100,"Outstanding")</f>
        <v>Exceeding</v>
      </c>
      <c r="K80" s="6">
        <f>_xlfn.XLOOKUP(J80,Lookup_Performance!$C$2:$C$6,Lookup_Performance!$D$2:$D$6,"N/A",0)</f>
        <v>0.08</v>
      </c>
      <c r="L80" s="7">
        <f t="shared" si="1"/>
        <v>7095.12</v>
      </c>
      <c r="M80" t="s">
        <v>18</v>
      </c>
      <c r="N80" t="str">
        <f>TRIM(CLEAN(Table1[[#This Row],[Employment Status]]))</f>
        <v>Active</v>
      </c>
    </row>
    <row r="81" spans="1:14" x14ac:dyDescent="0.25">
      <c r="A81" t="s">
        <v>98</v>
      </c>
      <c r="B81" t="s">
        <v>263</v>
      </c>
      <c r="C81" t="s">
        <v>12</v>
      </c>
      <c r="D81" t="str">
        <f>_xlfn.XLOOKUP(C81,Lookup_Departments!$A$2:$A$7,Lookup_Departments!$B$2:$B$7,"Invalid Dept_Code",0)</f>
        <v>Operations</v>
      </c>
      <c r="E81" s="25">
        <v>42330</v>
      </c>
      <c r="F81" s="2" t="str">
        <f>TEXT(Table1[[#This Row],[Hire Date  ]],"yyyy")</f>
        <v>2015</v>
      </c>
      <c r="G81" s="8">
        <v>86480</v>
      </c>
      <c r="H81">
        <v>68</v>
      </c>
      <c r="I81" s="4">
        <f ca="1">DATEDIF(E81,TODAY(),"Y")</f>
        <v>10</v>
      </c>
      <c r="J81" s="6" t="str" cm="1">
        <f t="array" ref="J81">_xlfn.IFS(H81&lt;=49,"Needs Improvement",H81&lt;=69,"Developing",H81&lt;=84,"Achieving",H81&lt;=94,"Exceeding",H81&lt;=100,"Outstanding")</f>
        <v>Developing</v>
      </c>
      <c r="K81" s="6">
        <f>_xlfn.XLOOKUP(J81,Lookup_Performance!$C$2:$C$6,Lookup_Performance!$D$2:$D$6,"N/A",0)</f>
        <v>0.02</v>
      </c>
      <c r="L81" s="7">
        <f t="shared" si="1"/>
        <v>1729.6000000000001</v>
      </c>
      <c r="M81" t="s">
        <v>18</v>
      </c>
      <c r="N81" t="str">
        <f>TRIM(CLEAN(Table1[[#This Row],[Employment Status]]))</f>
        <v>Active</v>
      </c>
    </row>
    <row r="82" spans="1:14" x14ac:dyDescent="0.25">
      <c r="A82" t="s">
        <v>99</v>
      </c>
      <c r="B82" t="s">
        <v>264</v>
      </c>
      <c r="C82" t="s">
        <v>43</v>
      </c>
      <c r="D82" t="str">
        <f>_xlfn.XLOOKUP(C82,Lookup_Departments!$A$2:$A$7,Lookup_Departments!$B$2:$B$7,"Invalid Dept_Code",0)</f>
        <v>Human Resources</v>
      </c>
      <c r="E82" s="25" t="s">
        <v>100</v>
      </c>
      <c r="F82" s="2" t="str">
        <f>TEXT(Table1[[#This Row],[Hire Date  ]],"yyyy")</f>
        <v>2018</v>
      </c>
      <c r="G82" s="8">
        <v>47694</v>
      </c>
      <c r="H82">
        <v>75</v>
      </c>
      <c r="I82" s="4">
        <f ca="1">DATEDIF(E82,TODAY(),"Y")</f>
        <v>7</v>
      </c>
      <c r="J82" s="6" t="str" cm="1">
        <f t="array" ref="J82">_xlfn.IFS(H82&lt;=49,"Needs Improvement",H82&lt;=69,"Developing",H82&lt;=84,"Achieving",H82&lt;=94,"Exceeding",H82&lt;=100,"Outstanding")</f>
        <v>Achieving</v>
      </c>
      <c r="K82" s="6">
        <f>_xlfn.XLOOKUP(J82,Lookup_Performance!$C$2:$C$6,Lookup_Performance!$D$2:$D$6,"N/A",0)</f>
        <v>0.05</v>
      </c>
      <c r="L82" s="7">
        <f t="shared" si="1"/>
        <v>2384.7000000000003</v>
      </c>
      <c r="M82" t="s">
        <v>18</v>
      </c>
      <c r="N82" t="str">
        <f>TRIM(CLEAN(Table1[[#This Row],[Employment Status]]))</f>
        <v>Active</v>
      </c>
    </row>
    <row r="83" spans="1:14" x14ac:dyDescent="0.25">
      <c r="A83" t="s">
        <v>101</v>
      </c>
      <c r="B83" t="s">
        <v>265</v>
      </c>
      <c r="C83" t="s">
        <v>3</v>
      </c>
      <c r="D83" t="str">
        <f>_xlfn.XLOOKUP(C83,Lookup_Departments!$A$2:$A$7,Lookup_Departments!$B$2:$B$7,"Invalid Dept_Code",0)</f>
        <v>Information Technology</v>
      </c>
      <c r="E83" s="25">
        <v>45171</v>
      </c>
      <c r="F83" s="2" t="str">
        <f>TEXT(Table1[[#This Row],[Hire Date  ]],"yyyy")</f>
        <v>2023</v>
      </c>
      <c r="G83" s="8">
        <v>83724</v>
      </c>
      <c r="H83">
        <v>81</v>
      </c>
      <c r="I83" s="4">
        <f ca="1">DATEDIF(E83,TODAY(),"Y")</f>
        <v>2</v>
      </c>
      <c r="J83" s="6" t="str" cm="1">
        <f t="array" ref="J83">_xlfn.IFS(H83&lt;=49,"Needs Improvement",H83&lt;=69,"Developing",H83&lt;=84,"Achieving",H83&lt;=94,"Exceeding",H83&lt;=100,"Outstanding")</f>
        <v>Achieving</v>
      </c>
      <c r="K83" s="6">
        <f>_xlfn.XLOOKUP(J83,Lookup_Performance!$C$2:$C$6,Lookup_Performance!$D$2:$D$6,"N/A",0)</f>
        <v>0.05</v>
      </c>
      <c r="L83" s="7">
        <f t="shared" si="1"/>
        <v>4186.2</v>
      </c>
      <c r="M83" t="s">
        <v>55</v>
      </c>
      <c r="N83" t="str">
        <f>TRIM(CLEAN(Table1[[#This Row],[Employment Status]]))</f>
        <v>Resigned</v>
      </c>
    </row>
    <row r="84" spans="1:14" x14ac:dyDescent="0.25">
      <c r="A84" t="s">
        <v>102</v>
      </c>
      <c r="B84" t="s">
        <v>266</v>
      </c>
      <c r="C84" t="s">
        <v>8</v>
      </c>
      <c r="D84" t="str">
        <f>_xlfn.XLOOKUP(C84,Lookup_Departments!$A$2:$A$7,Lookup_Departments!$B$2:$B$7,"Invalid Dept_Code",0)</f>
        <v>Finance</v>
      </c>
      <c r="E84" s="25">
        <v>44759</v>
      </c>
      <c r="F84" s="2" t="str">
        <f>TEXT(Table1[[#This Row],[Hire Date  ]],"yyyy")</f>
        <v>2022</v>
      </c>
      <c r="G84" s="8">
        <v>98299</v>
      </c>
      <c r="H84">
        <v>61</v>
      </c>
      <c r="I84" s="4">
        <f ca="1">DATEDIF(E84,TODAY(),"Y")</f>
        <v>3</v>
      </c>
      <c r="J84" s="6" t="str" cm="1">
        <f t="array" ref="J84">_xlfn.IFS(H84&lt;=49,"Needs Improvement",H84&lt;=69,"Developing",H84&lt;=84,"Achieving",H84&lt;=94,"Exceeding",H84&lt;=100,"Outstanding")</f>
        <v>Developing</v>
      </c>
      <c r="K84" s="6">
        <f>_xlfn.XLOOKUP(J84,Lookup_Performance!$C$2:$C$6,Lookup_Performance!$D$2:$D$6,"N/A",0)</f>
        <v>0.02</v>
      </c>
      <c r="L84" s="7">
        <f t="shared" si="1"/>
        <v>1965.98</v>
      </c>
      <c r="M84" t="s">
        <v>18</v>
      </c>
      <c r="N84" t="str">
        <f>TRIM(CLEAN(Table1[[#This Row],[Employment Status]]))</f>
        <v>Active</v>
      </c>
    </row>
    <row r="85" spans="1:14" x14ac:dyDescent="0.25">
      <c r="A85" t="s">
        <v>103</v>
      </c>
      <c r="B85" t="s">
        <v>267</v>
      </c>
      <c r="C85" t="s">
        <v>8</v>
      </c>
      <c r="D85" t="str">
        <f>_xlfn.XLOOKUP(C85,Lookup_Departments!$A$2:$A$7,Lookup_Departments!$B$2:$B$7,"Invalid Dept_Code",0)</f>
        <v>Finance</v>
      </c>
      <c r="E85" s="25">
        <v>44234</v>
      </c>
      <c r="F85" s="2" t="str">
        <f>TEXT(Table1[[#This Row],[Hire Date  ]],"yyyy")</f>
        <v>2021</v>
      </c>
      <c r="G85" s="8">
        <v>95315</v>
      </c>
      <c r="H85">
        <v>68</v>
      </c>
      <c r="I85" s="4">
        <f ca="1">DATEDIF(E85,TODAY(),"Y")</f>
        <v>5</v>
      </c>
      <c r="J85" s="6" t="str" cm="1">
        <f t="array" ref="J85">_xlfn.IFS(H85&lt;=49,"Needs Improvement",H85&lt;=69,"Developing",H85&lt;=84,"Achieving",H85&lt;=94,"Exceeding",H85&lt;=100,"Outstanding")</f>
        <v>Developing</v>
      </c>
      <c r="K85" s="6">
        <f>_xlfn.XLOOKUP(J85,Lookup_Performance!$C$2:$C$6,Lookup_Performance!$D$2:$D$6,"N/A",0)</f>
        <v>0.02</v>
      </c>
      <c r="L85" s="7">
        <f t="shared" si="1"/>
        <v>1906.3</v>
      </c>
      <c r="M85" t="s">
        <v>18</v>
      </c>
      <c r="N85" t="str">
        <f>TRIM(CLEAN(Table1[[#This Row],[Employment Status]]))</f>
        <v>Active</v>
      </c>
    </row>
    <row r="86" spans="1:14" x14ac:dyDescent="0.25">
      <c r="A86" t="s">
        <v>104</v>
      </c>
      <c r="B86" t="s">
        <v>268</v>
      </c>
      <c r="C86" t="s">
        <v>3</v>
      </c>
      <c r="D86" t="str">
        <f>_xlfn.XLOOKUP(C86,Lookup_Departments!$A$2:$A$7,Lookup_Departments!$B$2:$B$7,"Invalid Dept_Code",0)</f>
        <v>Information Technology</v>
      </c>
      <c r="E86" s="25">
        <v>45203</v>
      </c>
      <c r="F86" s="2" t="str">
        <f>TEXT(Table1[[#This Row],[Hire Date  ]],"yyyy")</f>
        <v>2023</v>
      </c>
      <c r="G86" s="8">
        <v>52287</v>
      </c>
      <c r="H86">
        <v>70</v>
      </c>
      <c r="I86" s="4">
        <f ca="1">DATEDIF(E86,TODAY(),"Y")</f>
        <v>2</v>
      </c>
      <c r="J86" s="6" t="str" cm="1">
        <f t="array" ref="J86">_xlfn.IFS(H86&lt;=49,"Needs Improvement",H86&lt;=69,"Developing",H86&lt;=84,"Achieving",H86&lt;=94,"Exceeding",H86&lt;=100,"Outstanding")</f>
        <v>Achieving</v>
      </c>
      <c r="K86" s="6">
        <f>_xlfn.XLOOKUP(J86,Lookup_Performance!$C$2:$C$6,Lookup_Performance!$D$2:$D$6,"N/A",0)</f>
        <v>0.05</v>
      </c>
      <c r="L86" s="7">
        <f t="shared" si="1"/>
        <v>2614.3500000000004</v>
      </c>
      <c r="M86" t="s">
        <v>18</v>
      </c>
      <c r="N86" t="str">
        <f>TRIM(CLEAN(Table1[[#This Row],[Employment Status]]))</f>
        <v>Active</v>
      </c>
    </row>
    <row r="87" spans="1:14" x14ac:dyDescent="0.25">
      <c r="A87" t="s">
        <v>105</v>
      </c>
      <c r="B87" t="s">
        <v>255</v>
      </c>
      <c r="C87" t="s">
        <v>3</v>
      </c>
      <c r="D87" t="str">
        <f>_xlfn.XLOOKUP(C87,Lookup_Departments!$A$2:$A$7,Lookup_Departments!$B$2:$B$7,"Invalid Dept_Code",0)</f>
        <v>Information Technology</v>
      </c>
      <c r="E87" s="25">
        <v>44073</v>
      </c>
      <c r="F87" s="2" t="str">
        <f>TEXT(Table1[[#This Row],[Hire Date  ]],"yyyy")</f>
        <v>2020</v>
      </c>
      <c r="G87" s="8">
        <v>82633</v>
      </c>
      <c r="H87">
        <v>98</v>
      </c>
      <c r="I87" s="4">
        <f ca="1">DATEDIF(E87,TODAY(),"Y")</f>
        <v>5</v>
      </c>
      <c r="J87" s="6" t="str" cm="1">
        <f t="array" ref="J87">_xlfn.IFS(H87&lt;=49,"Needs Improvement",H87&lt;=69,"Developing",H87&lt;=84,"Achieving",H87&lt;=94,"Exceeding",H87&lt;=100,"Outstanding")</f>
        <v>Outstanding</v>
      </c>
      <c r="K87" s="6">
        <f>_xlfn.XLOOKUP(J87,Lookup_Performance!$C$2:$C$6,Lookup_Performance!$D$2:$D$6,"N/A",0)</f>
        <v>0.12</v>
      </c>
      <c r="L87" s="7">
        <f t="shared" si="1"/>
        <v>9915.9599999999991</v>
      </c>
      <c r="M87" t="s">
        <v>18</v>
      </c>
      <c r="N87" t="str">
        <f>TRIM(CLEAN(Table1[[#This Row],[Employment Status]]))</f>
        <v>Active</v>
      </c>
    </row>
    <row r="88" spans="1:14" x14ac:dyDescent="0.25">
      <c r="A88" t="s">
        <v>106</v>
      </c>
      <c r="B88" t="s">
        <v>269</v>
      </c>
      <c r="C88" t="s">
        <v>12</v>
      </c>
      <c r="D88" t="str">
        <f>_xlfn.XLOOKUP(C88,Lookup_Departments!$A$2:$A$7,Lookup_Departments!$B$2:$B$7,"Invalid Dept_Code",0)</f>
        <v>Operations</v>
      </c>
      <c r="E88" s="25">
        <v>44422</v>
      </c>
      <c r="F88" s="2" t="str">
        <f>TEXT(Table1[[#This Row],[Hire Date  ]],"yyyy")</f>
        <v>2021</v>
      </c>
      <c r="G88" s="8">
        <v>46508</v>
      </c>
      <c r="H88">
        <v>34</v>
      </c>
      <c r="I88" s="4">
        <f ca="1">DATEDIF(E88,TODAY(),"Y")</f>
        <v>4</v>
      </c>
      <c r="J88" s="6" t="str" cm="1">
        <f t="array" ref="J88">_xlfn.IFS(H88&lt;=49,"Needs Improvement",H88&lt;=69,"Developing",H88&lt;=84,"Achieving",H88&lt;=94,"Exceeding",H88&lt;=100,"Outstanding")</f>
        <v>Needs Improvement</v>
      </c>
      <c r="K88" s="6">
        <f>_xlfn.XLOOKUP(J88,Lookup_Performance!$C$2:$C$6,Lookup_Performance!$D$2:$D$6,"N/A",0)</f>
        <v>0</v>
      </c>
      <c r="L88" s="7">
        <f t="shared" si="1"/>
        <v>0</v>
      </c>
      <c r="M88" t="s">
        <v>18</v>
      </c>
      <c r="N88" t="str">
        <f>TRIM(CLEAN(Table1[[#This Row],[Employment Status]]))</f>
        <v>Active</v>
      </c>
    </row>
    <row r="89" spans="1:14" x14ac:dyDescent="0.25">
      <c r="A89" t="s">
        <v>107</v>
      </c>
      <c r="B89" t="s">
        <v>199</v>
      </c>
      <c r="C89" t="s">
        <v>43</v>
      </c>
      <c r="D89" t="str">
        <f>_xlfn.XLOOKUP(C89,Lookup_Departments!$A$2:$A$7,Lookup_Departments!$B$2:$B$7,"Invalid Dept_Code",0)</f>
        <v>Human Resources</v>
      </c>
      <c r="E89" s="25">
        <v>43796</v>
      </c>
      <c r="F89" s="2" t="str">
        <f>TEXT(Table1[[#This Row],[Hire Date  ]],"yyyy")</f>
        <v>2019</v>
      </c>
      <c r="G89" s="8">
        <v>86232</v>
      </c>
      <c r="H89">
        <v>93</v>
      </c>
      <c r="I89" s="4">
        <f ca="1">DATEDIF(E89,TODAY(),"Y")</f>
        <v>6</v>
      </c>
      <c r="J89" s="6" t="str" cm="1">
        <f t="array" ref="J89">_xlfn.IFS(H89&lt;=49,"Needs Improvement",H89&lt;=69,"Developing",H89&lt;=84,"Achieving",H89&lt;=94,"Exceeding",H89&lt;=100,"Outstanding")</f>
        <v>Exceeding</v>
      </c>
      <c r="K89" s="6">
        <f>_xlfn.XLOOKUP(J89,Lookup_Performance!$C$2:$C$6,Lookup_Performance!$D$2:$D$6,"N/A",0)</f>
        <v>0.08</v>
      </c>
      <c r="L89" s="7">
        <f t="shared" si="1"/>
        <v>6898.56</v>
      </c>
      <c r="M89" t="s">
        <v>18</v>
      </c>
      <c r="N89" t="str">
        <f>TRIM(CLEAN(Table1[[#This Row],[Employment Status]]))</f>
        <v>Active</v>
      </c>
    </row>
    <row r="90" spans="1:14" x14ac:dyDescent="0.25">
      <c r="A90" t="s">
        <v>108</v>
      </c>
      <c r="B90" t="s">
        <v>243</v>
      </c>
      <c r="C90" t="s">
        <v>3</v>
      </c>
      <c r="D90" t="str">
        <f>_xlfn.XLOOKUP(C90,Lookup_Departments!$A$2:$A$7,Lookup_Departments!$B$2:$B$7,"Invalid Dept_Code",0)</f>
        <v>Information Technology</v>
      </c>
      <c r="E90" s="25">
        <v>42880</v>
      </c>
      <c r="F90" s="2" t="str">
        <f>TEXT(Table1[[#This Row],[Hire Date  ]],"yyyy")</f>
        <v>2017</v>
      </c>
      <c r="G90" s="8">
        <v>77545</v>
      </c>
      <c r="H90">
        <v>48</v>
      </c>
      <c r="I90" s="4">
        <f ca="1">DATEDIF(E90,TODAY(),"Y")</f>
        <v>9</v>
      </c>
      <c r="J90" s="6" t="str" cm="1">
        <f t="array" ref="J90">_xlfn.IFS(H90&lt;=49,"Needs Improvement",H90&lt;=69,"Developing",H90&lt;=84,"Achieving",H90&lt;=94,"Exceeding",H90&lt;=100,"Outstanding")</f>
        <v>Needs Improvement</v>
      </c>
      <c r="K90" s="6">
        <f>_xlfn.XLOOKUP(J90,Lookup_Performance!$C$2:$C$6,Lookup_Performance!$D$2:$D$6,"N/A",0)</f>
        <v>0</v>
      </c>
      <c r="L90" s="7">
        <f t="shared" si="1"/>
        <v>0</v>
      </c>
      <c r="M90" t="s">
        <v>18</v>
      </c>
      <c r="N90" t="str">
        <f>TRIM(CLEAN(Table1[[#This Row],[Employment Status]]))</f>
        <v>Active</v>
      </c>
    </row>
    <row r="91" spans="1:14" x14ac:dyDescent="0.25">
      <c r="A91" t="s">
        <v>109</v>
      </c>
      <c r="B91" t="s">
        <v>270</v>
      </c>
      <c r="C91" t="s">
        <v>12</v>
      </c>
      <c r="D91" t="str">
        <f>_xlfn.XLOOKUP(C91,Lookup_Departments!$A$2:$A$7,Lookup_Departments!$B$2:$B$7,"Invalid Dept_Code",0)</f>
        <v>Operations</v>
      </c>
      <c r="E91" s="25">
        <v>43436</v>
      </c>
      <c r="F91" s="2" t="str">
        <f>TEXT(Table1[[#This Row],[Hire Date  ]],"yyyy")</f>
        <v>2018</v>
      </c>
      <c r="G91" s="8">
        <v>68683</v>
      </c>
      <c r="H91">
        <v>90</v>
      </c>
      <c r="I91" s="4">
        <f ca="1">DATEDIF(E91,TODAY(),"Y")</f>
        <v>7</v>
      </c>
      <c r="J91" s="6" t="str" cm="1">
        <f t="array" ref="J91">_xlfn.IFS(H91&lt;=49,"Needs Improvement",H91&lt;=69,"Developing",H91&lt;=84,"Achieving",H91&lt;=94,"Exceeding",H91&lt;=100,"Outstanding")</f>
        <v>Exceeding</v>
      </c>
      <c r="K91" s="6">
        <f>_xlfn.XLOOKUP(J91,Lookup_Performance!$C$2:$C$6,Lookup_Performance!$D$2:$D$6,"N/A",0)</f>
        <v>0.08</v>
      </c>
      <c r="L91" s="7">
        <f t="shared" si="1"/>
        <v>5494.64</v>
      </c>
      <c r="M91" t="s">
        <v>18</v>
      </c>
      <c r="N91" t="str">
        <f>TRIM(CLEAN(Table1[[#This Row],[Employment Status]]))</f>
        <v>Active</v>
      </c>
    </row>
    <row r="92" spans="1:14" x14ac:dyDescent="0.25">
      <c r="A92" t="s">
        <v>110</v>
      </c>
      <c r="B92" t="s">
        <v>253</v>
      </c>
      <c r="C92" t="s">
        <v>8</v>
      </c>
      <c r="D92" t="str">
        <f>_xlfn.XLOOKUP(C92,Lookup_Departments!$A$2:$A$7,Lookup_Departments!$B$2:$B$7,"Invalid Dept_Code",0)</f>
        <v>Finance</v>
      </c>
      <c r="E92" s="25">
        <v>43639</v>
      </c>
      <c r="F92" s="2" t="str">
        <f>TEXT(Table1[[#This Row],[Hire Date  ]],"yyyy")</f>
        <v>2019</v>
      </c>
      <c r="G92" s="8">
        <v>83932</v>
      </c>
      <c r="H92">
        <v>57</v>
      </c>
      <c r="I92" s="4">
        <f ca="1">DATEDIF(E92,TODAY(),"Y")</f>
        <v>7</v>
      </c>
      <c r="J92" s="6" t="str" cm="1">
        <f t="array" ref="J92">_xlfn.IFS(H92&lt;=49,"Needs Improvement",H92&lt;=69,"Developing",H92&lt;=84,"Achieving",H92&lt;=94,"Exceeding",H92&lt;=100,"Outstanding")</f>
        <v>Developing</v>
      </c>
      <c r="K92" s="6">
        <f>_xlfn.XLOOKUP(J92,Lookup_Performance!$C$2:$C$6,Lookup_Performance!$D$2:$D$6,"N/A",0)</f>
        <v>0.02</v>
      </c>
      <c r="L92" s="7">
        <f t="shared" si="1"/>
        <v>1678.64</v>
      </c>
      <c r="M92" t="s">
        <v>10</v>
      </c>
      <c r="N92" t="str">
        <f>TRIM(CLEAN(Table1[[#This Row],[Employment Status]]))</f>
        <v>Left</v>
      </c>
    </row>
    <row r="93" spans="1:14" x14ac:dyDescent="0.25">
      <c r="A93" t="s">
        <v>111</v>
      </c>
      <c r="B93" t="s">
        <v>271</v>
      </c>
      <c r="C93" t="s">
        <v>43</v>
      </c>
      <c r="D93" t="str">
        <f>_xlfn.XLOOKUP(C93,Lookup_Departments!$A$2:$A$7,Lookup_Departments!$B$2:$B$7,"Invalid Dept_Code",0)</f>
        <v>Human Resources</v>
      </c>
      <c r="E93" s="25">
        <v>42304</v>
      </c>
      <c r="F93" s="2" t="str">
        <f>TEXT(Table1[[#This Row],[Hire Date  ]],"yyyy")</f>
        <v>2015</v>
      </c>
      <c r="G93" s="8">
        <v>56073</v>
      </c>
      <c r="H93">
        <v>79</v>
      </c>
      <c r="I93" s="4">
        <f ca="1">DATEDIF(E93,TODAY(),"Y")</f>
        <v>10</v>
      </c>
      <c r="J93" s="6" t="str" cm="1">
        <f t="array" ref="J93">_xlfn.IFS(H93&lt;=49,"Needs Improvement",H93&lt;=69,"Developing",H93&lt;=84,"Achieving",H93&lt;=94,"Exceeding",H93&lt;=100,"Outstanding")</f>
        <v>Achieving</v>
      </c>
      <c r="K93" s="6">
        <f>_xlfn.XLOOKUP(J93,Lookup_Performance!$C$2:$C$6,Lookup_Performance!$D$2:$D$6,"N/A",0)</f>
        <v>0.05</v>
      </c>
      <c r="L93" s="7">
        <f t="shared" si="1"/>
        <v>2803.65</v>
      </c>
      <c r="M93" t="s">
        <v>18</v>
      </c>
      <c r="N93" t="str">
        <f>TRIM(CLEAN(Table1[[#This Row],[Employment Status]]))</f>
        <v>Active</v>
      </c>
    </row>
    <row r="94" spans="1:14" x14ac:dyDescent="0.25">
      <c r="A94" t="s">
        <v>112</v>
      </c>
      <c r="B94" t="s">
        <v>239</v>
      </c>
      <c r="C94" t="s">
        <v>3</v>
      </c>
      <c r="D94" t="str">
        <f>_xlfn.XLOOKUP(C94,Lookup_Departments!$A$2:$A$7,Lookup_Departments!$B$2:$B$7,"Invalid Dept_Code",0)</f>
        <v>Information Technology</v>
      </c>
      <c r="E94" s="25">
        <v>43270</v>
      </c>
      <c r="F94" s="2" t="str">
        <f>TEXT(Table1[[#This Row],[Hire Date  ]],"yyyy")</f>
        <v>2018</v>
      </c>
      <c r="G94" s="8">
        <v>88056</v>
      </c>
      <c r="H94">
        <v>66</v>
      </c>
      <c r="I94" s="4">
        <f ca="1">DATEDIF(E94,TODAY(),"Y")</f>
        <v>8</v>
      </c>
      <c r="J94" s="6" t="str" cm="1">
        <f t="array" ref="J94">_xlfn.IFS(H94&lt;=49,"Needs Improvement",H94&lt;=69,"Developing",H94&lt;=84,"Achieving",H94&lt;=94,"Exceeding",H94&lt;=100,"Outstanding")</f>
        <v>Developing</v>
      </c>
      <c r="K94" s="6">
        <f>_xlfn.XLOOKUP(J94,Lookup_Performance!$C$2:$C$6,Lookup_Performance!$D$2:$D$6,"N/A",0)</f>
        <v>0.02</v>
      </c>
      <c r="L94" s="7">
        <f t="shared" si="1"/>
        <v>1761.1200000000001</v>
      </c>
      <c r="M94" t="s">
        <v>18</v>
      </c>
      <c r="N94" t="str">
        <f>TRIM(CLEAN(Table1[[#This Row],[Employment Status]]))</f>
        <v>Active</v>
      </c>
    </row>
    <row r="95" spans="1:14" x14ac:dyDescent="0.25">
      <c r="A95" t="s">
        <v>113</v>
      </c>
      <c r="B95" t="s">
        <v>272</v>
      </c>
      <c r="C95" t="s">
        <v>12</v>
      </c>
      <c r="D95" t="str">
        <f>_xlfn.XLOOKUP(C95,Lookup_Departments!$A$2:$A$7,Lookup_Departments!$B$2:$B$7,"Invalid Dept_Code",0)</f>
        <v>Operations</v>
      </c>
      <c r="E95" s="25">
        <v>43112</v>
      </c>
      <c r="F95" s="2" t="str">
        <f>TEXT(Table1[[#This Row],[Hire Date  ]],"yyyy")</f>
        <v>2018</v>
      </c>
      <c r="G95" s="8">
        <v>67414</v>
      </c>
      <c r="H95">
        <v>84</v>
      </c>
      <c r="I95" s="4">
        <f ca="1">DATEDIF(E95,TODAY(),"Y")</f>
        <v>8</v>
      </c>
      <c r="J95" s="6" t="str" cm="1">
        <f t="array" ref="J95">_xlfn.IFS(H95&lt;=49,"Needs Improvement",H95&lt;=69,"Developing",H95&lt;=84,"Achieving",H95&lt;=94,"Exceeding",H95&lt;=100,"Outstanding")</f>
        <v>Achieving</v>
      </c>
      <c r="K95" s="6">
        <f>_xlfn.XLOOKUP(J95,Lookup_Performance!$C$2:$C$6,Lookup_Performance!$D$2:$D$6,"N/A",0)</f>
        <v>0.05</v>
      </c>
      <c r="L95" s="7">
        <f t="shared" si="1"/>
        <v>3370.7000000000003</v>
      </c>
      <c r="M95" t="s">
        <v>10</v>
      </c>
      <c r="N95" t="str">
        <f>TRIM(CLEAN(Table1[[#This Row],[Employment Status]]))</f>
        <v>Left</v>
      </c>
    </row>
    <row r="96" spans="1:14" x14ac:dyDescent="0.25">
      <c r="A96" t="s">
        <v>114</v>
      </c>
      <c r="B96" t="s">
        <v>270</v>
      </c>
      <c r="C96" t="s">
        <v>17</v>
      </c>
      <c r="D96" t="str">
        <f>_xlfn.XLOOKUP(C96,Lookup_Departments!$A$2:$A$7,Lookup_Departments!$B$2:$B$7,"Invalid Dept_Code",0)</f>
        <v>Sales</v>
      </c>
      <c r="E96" s="25">
        <v>42008</v>
      </c>
      <c r="F96" s="2" t="str">
        <f>TEXT(Table1[[#This Row],[Hire Date  ]],"yyyy")</f>
        <v>2015</v>
      </c>
      <c r="G96" s="8">
        <v>115288</v>
      </c>
      <c r="H96">
        <v>61</v>
      </c>
      <c r="I96" s="4">
        <f ca="1">DATEDIF(E96,TODAY(),"Y")</f>
        <v>11</v>
      </c>
      <c r="J96" s="6" t="str" cm="1">
        <f t="array" ref="J96">_xlfn.IFS(H96&lt;=49,"Needs Improvement",H96&lt;=69,"Developing",H96&lt;=84,"Achieving",H96&lt;=94,"Exceeding",H96&lt;=100,"Outstanding")</f>
        <v>Developing</v>
      </c>
      <c r="K96" s="6">
        <f>_xlfn.XLOOKUP(J96,Lookup_Performance!$C$2:$C$6,Lookup_Performance!$D$2:$D$6,"N/A",0)</f>
        <v>0.02</v>
      </c>
      <c r="L96" s="7">
        <f t="shared" si="1"/>
        <v>2305.7600000000002</v>
      </c>
      <c r="M96" t="s">
        <v>18</v>
      </c>
      <c r="N96" t="str">
        <f>TRIM(CLEAN(Table1[[#This Row],[Employment Status]]))</f>
        <v>Active</v>
      </c>
    </row>
    <row r="97" spans="1:14" x14ac:dyDescent="0.25">
      <c r="A97" t="s">
        <v>115</v>
      </c>
      <c r="B97" t="s">
        <v>273</v>
      </c>
      <c r="C97" t="s">
        <v>17</v>
      </c>
      <c r="D97" t="str">
        <f>_xlfn.XLOOKUP(C97,Lookup_Departments!$A$2:$A$7,Lookup_Departments!$B$2:$B$7,"Invalid Dept_Code",0)</f>
        <v>Sales</v>
      </c>
      <c r="E97" s="25">
        <v>43439</v>
      </c>
      <c r="F97" s="2" t="str">
        <f>TEXT(Table1[[#This Row],[Hire Date  ]],"yyyy")</f>
        <v>2018</v>
      </c>
      <c r="G97" s="8">
        <v>80140</v>
      </c>
      <c r="H97">
        <v>58</v>
      </c>
      <c r="I97" s="4">
        <f ca="1">DATEDIF(E97,TODAY(),"Y")</f>
        <v>7</v>
      </c>
      <c r="J97" s="6" t="str" cm="1">
        <f t="array" ref="J97">_xlfn.IFS(H97&lt;=49,"Needs Improvement",H97&lt;=69,"Developing",H97&lt;=84,"Achieving",H97&lt;=94,"Exceeding",H97&lt;=100,"Outstanding")</f>
        <v>Developing</v>
      </c>
      <c r="K97" s="6">
        <f>_xlfn.XLOOKUP(J97,Lookup_Performance!$C$2:$C$6,Lookup_Performance!$D$2:$D$6,"N/A",0)</f>
        <v>0.02</v>
      </c>
      <c r="L97" s="7">
        <f t="shared" si="1"/>
        <v>1602.8</v>
      </c>
      <c r="M97" t="s">
        <v>18</v>
      </c>
      <c r="N97" t="str">
        <f>TRIM(CLEAN(Table1[[#This Row],[Employment Status]]))</f>
        <v>Active</v>
      </c>
    </row>
    <row r="98" spans="1:14" x14ac:dyDescent="0.25">
      <c r="A98" t="s">
        <v>116</v>
      </c>
      <c r="B98" t="s">
        <v>268</v>
      </c>
      <c r="C98" t="s">
        <v>3</v>
      </c>
      <c r="D98" t="str">
        <f>_xlfn.XLOOKUP(C98,Lookup_Departments!$A$2:$A$7,Lookup_Departments!$B$2:$B$7,"Invalid Dept_Code",0)</f>
        <v>Information Technology</v>
      </c>
      <c r="E98" s="25">
        <v>44482</v>
      </c>
      <c r="F98" s="2" t="str">
        <f>TEXT(Table1[[#This Row],[Hire Date  ]],"yyyy")</f>
        <v>2021</v>
      </c>
      <c r="G98" s="8">
        <v>73087</v>
      </c>
      <c r="H98">
        <v>69</v>
      </c>
      <c r="I98" s="4">
        <f ca="1">DATEDIF(E98,TODAY(),"Y")</f>
        <v>4</v>
      </c>
      <c r="J98" s="6" t="str" cm="1">
        <f t="array" ref="J98">_xlfn.IFS(H98&lt;=49,"Needs Improvement",H98&lt;=69,"Developing",H98&lt;=84,"Achieving",H98&lt;=94,"Exceeding",H98&lt;=100,"Outstanding")</f>
        <v>Developing</v>
      </c>
      <c r="K98" s="6">
        <f>_xlfn.XLOOKUP(J98,Lookup_Performance!$C$2:$C$6,Lookup_Performance!$D$2:$D$6,"N/A",0)</f>
        <v>0.02</v>
      </c>
      <c r="L98" s="7">
        <f t="shared" si="1"/>
        <v>1461.74</v>
      </c>
      <c r="M98" t="s">
        <v>18</v>
      </c>
      <c r="N98" t="str">
        <f>TRIM(CLEAN(Table1[[#This Row],[Employment Status]]))</f>
        <v>Active</v>
      </c>
    </row>
    <row r="99" spans="1:14" x14ac:dyDescent="0.25">
      <c r="A99" t="s">
        <v>117</v>
      </c>
      <c r="B99" t="s">
        <v>274</v>
      </c>
      <c r="C99" t="s">
        <v>17</v>
      </c>
      <c r="D99" t="str">
        <f>_xlfn.XLOOKUP(C99,Lookup_Departments!$A$2:$A$7,Lookup_Departments!$B$2:$B$7,"Invalid Dept_Code",0)</f>
        <v>Sales</v>
      </c>
      <c r="E99" s="25">
        <v>44081</v>
      </c>
      <c r="F99" s="2" t="str">
        <f>TEXT(Table1[[#This Row],[Hire Date  ]],"yyyy")</f>
        <v>2020</v>
      </c>
      <c r="G99" s="8">
        <v>95292</v>
      </c>
      <c r="H99">
        <v>34</v>
      </c>
      <c r="I99" s="4">
        <f ca="1">DATEDIF(E99,TODAY(),"Y")</f>
        <v>5</v>
      </c>
      <c r="J99" s="6" t="str" cm="1">
        <f t="array" ref="J99">_xlfn.IFS(H99&lt;=49,"Needs Improvement",H99&lt;=69,"Developing",H99&lt;=84,"Achieving",H99&lt;=94,"Exceeding",H99&lt;=100,"Outstanding")</f>
        <v>Needs Improvement</v>
      </c>
      <c r="K99" s="6">
        <f>_xlfn.XLOOKUP(J99,Lookup_Performance!$C$2:$C$6,Lookup_Performance!$D$2:$D$6,"N/A",0)</f>
        <v>0</v>
      </c>
      <c r="L99" s="7">
        <f t="shared" si="1"/>
        <v>0</v>
      </c>
      <c r="M99" t="s">
        <v>18</v>
      </c>
      <c r="N99" t="str">
        <f>TRIM(CLEAN(Table1[[#This Row],[Employment Status]]))</f>
        <v>Active</v>
      </c>
    </row>
    <row r="100" spans="1:14" x14ac:dyDescent="0.25">
      <c r="A100" t="s">
        <v>118</v>
      </c>
      <c r="B100" t="s">
        <v>275</v>
      </c>
      <c r="C100" t="s">
        <v>3</v>
      </c>
      <c r="D100" t="str">
        <f>_xlfn.XLOOKUP(C100,Lookup_Departments!$A$2:$A$7,Lookup_Departments!$B$2:$B$7,"Invalid Dept_Code",0)</f>
        <v>Information Technology</v>
      </c>
      <c r="E100" s="25" t="s">
        <v>119</v>
      </c>
      <c r="F100" s="2" t="str">
        <f>TEXT(Table1[[#This Row],[Hire Date  ]],"yyyy")</f>
        <v>2019</v>
      </c>
      <c r="G100" s="8">
        <v>74560</v>
      </c>
      <c r="H100">
        <v>33</v>
      </c>
      <c r="I100" s="4">
        <f ca="1">DATEDIF(E100,TODAY(),"Y")</f>
        <v>7</v>
      </c>
      <c r="J100" s="6" t="str" cm="1">
        <f t="array" ref="J100">_xlfn.IFS(H100&lt;=49,"Needs Improvement",H100&lt;=69,"Developing",H100&lt;=84,"Achieving",H100&lt;=94,"Exceeding",H100&lt;=100,"Outstanding")</f>
        <v>Needs Improvement</v>
      </c>
      <c r="K100" s="6">
        <f>_xlfn.XLOOKUP(J100,Lookup_Performance!$C$2:$C$6,Lookup_Performance!$D$2:$D$6,"N/A",0)</f>
        <v>0</v>
      </c>
      <c r="L100" s="7">
        <f t="shared" si="1"/>
        <v>0</v>
      </c>
      <c r="M100" t="s">
        <v>18</v>
      </c>
      <c r="N100" t="str">
        <f>TRIM(CLEAN(Table1[[#This Row],[Employment Status]]))</f>
        <v>Active</v>
      </c>
    </row>
    <row r="101" spans="1:14" x14ac:dyDescent="0.25">
      <c r="A101" t="s">
        <v>120</v>
      </c>
      <c r="B101" t="s">
        <v>276</v>
      </c>
      <c r="C101" t="s">
        <v>5</v>
      </c>
      <c r="D101" t="str">
        <f>_xlfn.XLOOKUP(C101,Lookup_Departments!$A$2:$A$7,Lookup_Departments!$B$2:$B$7,"Invalid Dept_Code",0)</f>
        <v>Marketing</v>
      </c>
      <c r="E101" s="25">
        <v>42074</v>
      </c>
      <c r="F101" s="2" t="str">
        <f>TEXT(Table1[[#This Row],[Hire Date  ]],"yyyy")</f>
        <v>2015</v>
      </c>
      <c r="G101" s="8">
        <v>101750</v>
      </c>
      <c r="H101">
        <v>84</v>
      </c>
      <c r="I101" s="4">
        <f ca="1">DATEDIF(E101,TODAY(),"Y")</f>
        <v>11</v>
      </c>
      <c r="J101" s="6" t="str" cm="1">
        <f t="array" ref="J101">_xlfn.IFS(H101&lt;=49,"Needs Improvement",H101&lt;=69,"Developing",H101&lt;=84,"Achieving",H101&lt;=94,"Exceeding",H101&lt;=100,"Outstanding")</f>
        <v>Achieving</v>
      </c>
      <c r="K101" s="6">
        <f>_xlfn.XLOOKUP(J101,Lookup_Performance!$C$2:$C$6,Lookup_Performance!$D$2:$D$6,"N/A",0)</f>
        <v>0.05</v>
      </c>
      <c r="L101" s="7">
        <f t="shared" si="1"/>
        <v>5087.5</v>
      </c>
      <c r="M101" t="s">
        <v>10</v>
      </c>
      <c r="N101" t="str">
        <f>TRIM(CLEAN(Table1[[#This Row],[Employment Status]]))</f>
        <v>Left</v>
      </c>
    </row>
    <row r="102" spans="1:14" x14ac:dyDescent="0.25">
      <c r="A102" t="s">
        <v>121</v>
      </c>
      <c r="B102" t="s">
        <v>277</v>
      </c>
      <c r="C102" t="s">
        <v>5</v>
      </c>
      <c r="D102" t="str">
        <f>_xlfn.XLOOKUP(C102,Lookup_Departments!$A$2:$A$7,Lookup_Departments!$B$2:$B$7,"Invalid Dept_Code",0)</f>
        <v>Marketing</v>
      </c>
      <c r="E102" s="25">
        <v>42785</v>
      </c>
      <c r="F102" s="2" t="str">
        <f>TEXT(Table1[[#This Row],[Hire Date  ]],"yyyy")</f>
        <v>2017</v>
      </c>
      <c r="G102" s="8">
        <v>82992</v>
      </c>
      <c r="H102">
        <v>79</v>
      </c>
      <c r="I102" s="4">
        <f ca="1">DATEDIF(E102,TODAY(),"Y")</f>
        <v>9</v>
      </c>
      <c r="J102" s="6" t="str" cm="1">
        <f t="array" ref="J102">_xlfn.IFS(H102&lt;=49,"Needs Improvement",H102&lt;=69,"Developing",H102&lt;=84,"Achieving",H102&lt;=94,"Exceeding",H102&lt;=100,"Outstanding")</f>
        <v>Achieving</v>
      </c>
      <c r="K102" s="6">
        <f>_xlfn.XLOOKUP(J102,Lookup_Performance!$C$2:$C$6,Lookup_Performance!$D$2:$D$6,"N/A",0)</f>
        <v>0.05</v>
      </c>
      <c r="L102" s="7">
        <f t="shared" si="1"/>
        <v>4149.6000000000004</v>
      </c>
      <c r="M102" t="s">
        <v>18</v>
      </c>
      <c r="N102" t="str">
        <f>TRIM(CLEAN(Table1[[#This Row],[Employment Status]]))</f>
        <v>Active</v>
      </c>
    </row>
    <row r="103" spans="1:14" x14ac:dyDescent="0.25">
      <c r="A103" t="s">
        <v>122</v>
      </c>
      <c r="B103" t="s">
        <v>278</v>
      </c>
      <c r="C103" t="s">
        <v>3</v>
      </c>
      <c r="D103" t="str">
        <f>_xlfn.XLOOKUP(C103,Lookup_Departments!$A$2:$A$7,Lookup_Departments!$B$2:$B$7,"Invalid Dept_Code",0)</f>
        <v>Information Technology</v>
      </c>
      <c r="E103" s="25">
        <v>45055</v>
      </c>
      <c r="F103" s="2" t="str">
        <f>TEXT(Table1[[#This Row],[Hire Date  ]],"yyyy")</f>
        <v>2023</v>
      </c>
      <c r="G103" s="8">
        <v>49942</v>
      </c>
      <c r="H103">
        <v>51</v>
      </c>
      <c r="I103" s="4">
        <f ca="1">DATEDIF(E103,TODAY(),"Y")</f>
        <v>3</v>
      </c>
      <c r="J103" s="6" t="str" cm="1">
        <f t="array" ref="J103">_xlfn.IFS(H103&lt;=49,"Needs Improvement",H103&lt;=69,"Developing",H103&lt;=84,"Achieving",H103&lt;=94,"Exceeding",H103&lt;=100,"Outstanding")</f>
        <v>Developing</v>
      </c>
      <c r="K103" s="6">
        <f>_xlfn.XLOOKUP(J103,Lookup_Performance!$C$2:$C$6,Lookup_Performance!$D$2:$D$6,"N/A",0)</f>
        <v>0.02</v>
      </c>
      <c r="L103" s="7">
        <f t="shared" si="1"/>
        <v>998.84</v>
      </c>
      <c r="M103" t="s">
        <v>18</v>
      </c>
      <c r="N103" t="str">
        <f>TRIM(CLEAN(Table1[[#This Row],[Employment Status]]))</f>
        <v>Active</v>
      </c>
    </row>
    <row r="104" spans="1:14" x14ac:dyDescent="0.25">
      <c r="A104" t="s">
        <v>123</v>
      </c>
      <c r="B104" t="s">
        <v>279</v>
      </c>
      <c r="C104" t="s">
        <v>12</v>
      </c>
      <c r="D104" t="str">
        <f>_xlfn.XLOOKUP(C104,Lookup_Departments!$A$2:$A$7,Lookup_Departments!$B$2:$B$7,"Invalid Dept_Code",0)</f>
        <v>Operations</v>
      </c>
      <c r="E104" s="25">
        <v>43122</v>
      </c>
      <c r="F104" s="2" t="str">
        <f>TEXT(Table1[[#This Row],[Hire Date  ]],"yyyy")</f>
        <v>2018</v>
      </c>
      <c r="G104" s="8">
        <v>89060</v>
      </c>
      <c r="H104">
        <v>58</v>
      </c>
      <c r="I104" s="4">
        <f ca="1">DATEDIF(E104,TODAY(),"Y")</f>
        <v>8</v>
      </c>
      <c r="J104" s="6" t="str" cm="1">
        <f t="array" ref="J104">_xlfn.IFS(H104&lt;=49,"Needs Improvement",H104&lt;=69,"Developing",H104&lt;=84,"Achieving",H104&lt;=94,"Exceeding",H104&lt;=100,"Outstanding")</f>
        <v>Developing</v>
      </c>
      <c r="K104" s="6">
        <f>_xlfn.XLOOKUP(J104,Lookup_Performance!$C$2:$C$6,Lookup_Performance!$D$2:$D$6,"N/A",0)</f>
        <v>0.02</v>
      </c>
      <c r="L104" s="7">
        <f t="shared" si="1"/>
        <v>1781.2</v>
      </c>
      <c r="M104" t="s">
        <v>18</v>
      </c>
      <c r="N104" t="str">
        <f>TRIM(CLEAN(Table1[[#This Row],[Employment Status]]))</f>
        <v>Active</v>
      </c>
    </row>
    <row r="105" spans="1:14" x14ac:dyDescent="0.25">
      <c r="A105" t="s">
        <v>124</v>
      </c>
      <c r="B105" t="s">
        <v>259</v>
      </c>
      <c r="C105" t="s">
        <v>3</v>
      </c>
      <c r="D105" t="str">
        <f>_xlfn.XLOOKUP(C105,Lookup_Departments!$A$2:$A$7,Lookup_Departments!$B$2:$B$7,"Invalid Dept_Code",0)</f>
        <v>Information Technology</v>
      </c>
      <c r="E105" s="25">
        <v>43879</v>
      </c>
      <c r="F105" s="2" t="str">
        <f>TEXT(Table1[[#This Row],[Hire Date  ]],"yyyy")</f>
        <v>2020</v>
      </c>
      <c r="G105" s="8">
        <v>53786</v>
      </c>
      <c r="H105">
        <v>98</v>
      </c>
      <c r="I105" s="4">
        <f ca="1">DATEDIF(E105,TODAY(),"Y")</f>
        <v>6</v>
      </c>
      <c r="J105" s="6" t="str" cm="1">
        <f t="array" ref="J105">_xlfn.IFS(H105&lt;=49,"Needs Improvement",H105&lt;=69,"Developing",H105&lt;=84,"Achieving",H105&lt;=94,"Exceeding",H105&lt;=100,"Outstanding")</f>
        <v>Outstanding</v>
      </c>
      <c r="K105" s="6">
        <f>_xlfn.XLOOKUP(J105,Lookup_Performance!$C$2:$C$6,Lookup_Performance!$D$2:$D$6,"N/A",0)</f>
        <v>0.12</v>
      </c>
      <c r="L105" s="7">
        <f t="shared" si="1"/>
        <v>6454.32</v>
      </c>
      <c r="M105" t="s">
        <v>18</v>
      </c>
      <c r="N105" t="str">
        <f>TRIM(CLEAN(Table1[[#This Row],[Employment Status]]))</f>
        <v>Active</v>
      </c>
    </row>
    <row r="106" spans="1:14" x14ac:dyDescent="0.25">
      <c r="A106" t="s">
        <v>125</v>
      </c>
      <c r="B106" t="s">
        <v>202</v>
      </c>
      <c r="C106" t="s">
        <v>12</v>
      </c>
      <c r="D106" t="str">
        <f>_xlfn.XLOOKUP(C106,Lookup_Departments!$A$2:$A$7,Lookup_Departments!$B$2:$B$7,"Invalid Dept_Code",0)</f>
        <v>Operations</v>
      </c>
      <c r="E106" s="25" t="s">
        <v>126</v>
      </c>
      <c r="F106" s="2" t="str">
        <f>TEXT(Table1[[#This Row],[Hire Date  ]],"yyyy")</f>
        <v>2016</v>
      </c>
      <c r="G106" s="8">
        <v>81167</v>
      </c>
      <c r="H106">
        <v>68</v>
      </c>
      <c r="I106" s="4">
        <f ca="1">DATEDIF(E106,TODAY(),"Y")</f>
        <v>10</v>
      </c>
      <c r="J106" s="6" t="str" cm="1">
        <f t="array" ref="J106">_xlfn.IFS(H106&lt;=49,"Needs Improvement",H106&lt;=69,"Developing",H106&lt;=84,"Achieving",H106&lt;=94,"Exceeding",H106&lt;=100,"Outstanding")</f>
        <v>Developing</v>
      </c>
      <c r="K106" s="6">
        <f>_xlfn.XLOOKUP(J106,Lookup_Performance!$C$2:$C$6,Lookup_Performance!$D$2:$D$6,"N/A",0)</f>
        <v>0.02</v>
      </c>
      <c r="L106" s="7">
        <f t="shared" si="1"/>
        <v>1623.3400000000001</v>
      </c>
      <c r="M106" t="s">
        <v>18</v>
      </c>
      <c r="N106" t="str">
        <f>TRIM(CLEAN(Table1[[#This Row],[Employment Status]]))</f>
        <v>Active</v>
      </c>
    </row>
    <row r="107" spans="1:14" x14ac:dyDescent="0.25">
      <c r="A107" t="s">
        <v>127</v>
      </c>
      <c r="B107" t="s">
        <v>280</v>
      </c>
      <c r="C107" t="s">
        <v>5</v>
      </c>
      <c r="D107" t="str">
        <f>_xlfn.XLOOKUP(C107,Lookup_Departments!$A$2:$A$7,Lookup_Departments!$B$2:$B$7,"Invalid Dept_Code",0)</f>
        <v>Marketing</v>
      </c>
      <c r="E107" s="25">
        <v>44349</v>
      </c>
      <c r="F107" s="2" t="str">
        <f>TEXT(Table1[[#This Row],[Hire Date  ]],"yyyy")</f>
        <v>2021</v>
      </c>
      <c r="G107" s="8">
        <v>66688</v>
      </c>
      <c r="H107">
        <v>40</v>
      </c>
      <c r="I107" s="4">
        <f ca="1">DATEDIF(E107,TODAY(),"Y")</f>
        <v>5</v>
      </c>
      <c r="J107" s="6" t="str" cm="1">
        <f t="array" ref="J107">_xlfn.IFS(H107&lt;=49,"Needs Improvement",H107&lt;=69,"Developing",H107&lt;=84,"Achieving",H107&lt;=94,"Exceeding",H107&lt;=100,"Outstanding")</f>
        <v>Needs Improvement</v>
      </c>
      <c r="K107" s="6">
        <f>_xlfn.XLOOKUP(J107,Lookup_Performance!$C$2:$C$6,Lookup_Performance!$D$2:$D$6,"N/A",0)</f>
        <v>0</v>
      </c>
      <c r="L107" s="7">
        <f t="shared" si="1"/>
        <v>0</v>
      </c>
      <c r="M107" t="s">
        <v>10</v>
      </c>
      <c r="N107" t="str">
        <f>TRIM(CLEAN(Table1[[#This Row],[Employment Status]]))</f>
        <v>Left</v>
      </c>
    </row>
    <row r="108" spans="1:14" x14ac:dyDescent="0.25">
      <c r="A108" t="s">
        <v>128</v>
      </c>
      <c r="B108" t="s">
        <v>281</v>
      </c>
      <c r="C108" t="s">
        <v>3</v>
      </c>
      <c r="D108" t="str">
        <f>_xlfn.XLOOKUP(C108,Lookup_Departments!$A$2:$A$7,Lookup_Departments!$B$2:$B$7,"Invalid Dept_Code",0)</f>
        <v>Information Technology</v>
      </c>
      <c r="E108" s="25">
        <v>44394</v>
      </c>
      <c r="F108" s="2" t="str">
        <f>TEXT(Table1[[#This Row],[Hire Date  ]],"yyyy")</f>
        <v>2021</v>
      </c>
      <c r="G108" s="8">
        <v>91672</v>
      </c>
      <c r="H108">
        <v>88</v>
      </c>
      <c r="I108" s="4">
        <f ca="1">DATEDIF(E108,TODAY(),"Y")</f>
        <v>4</v>
      </c>
      <c r="J108" s="6" t="str" cm="1">
        <f t="array" ref="J108">_xlfn.IFS(H108&lt;=49,"Needs Improvement",H108&lt;=69,"Developing",H108&lt;=84,"Achieving",H108&lt;=94,"Exceeding",H108&lt;=100,"Outstanding")</f>
        <v>Exceeding</v>
      </c>
      <c r="K108" s="6">
        <f>_xlfn.XLOOKUP(J108,Lookup_Performance!$C$2:$C$6,Lookup_Performance!$D$2:$D$6,"N/A",0)</f>
        <v>0.08</v>
      </c>
      <c r="L108" s="7">
        <f t="shared" si="1"/>
        <v>7333.76</v>
      </c>
      <c r="M108" t="s">
        <v>18</v>
      </c>
      <c r="N108" t="str">
        <f>TRIM(CLEAN(Table1[[#This Row],[Employment Status]]))</f>
        <v>Active</v>
      </c>
    </row>
    <row r="109" spans="1:14" x14ac:dyDescent="0.25">
      <c r="A109" t="s">
        <v>129</v>
      </c>
      <c r="B109" t="s">
        <v>282</v>
      </c>
      <c r="C109" t="s">
        <v>43</v>
      </c>
      <c r="D109" t="str">
        <f>_xlfn.XLOOKUP(C109,Lookup_Departments!$A$2:$A$7,Lookup_Departments!$B$2:$B$7,"Invalid Dept_Code",0)</f>
        <v>Human Resources</v>
      </c>
      <c r="E109" s="25">
        <v>42687</v>
      </c>
      <c r="F109" s="2" t="str">
        <f>TEXT(Table1[[#This Row],[Hire Date  ]],"yyyy")</f>
        <v>2016</v>
      </c>
      <c r="G109" s="8">
        <v>77737</v>
      </c>
      <c r="H109">
        <v>77</v>
      </c>
      <c r="I109" s="4">
        <f ca="1">DATEDIF(E109,TODAY(),"Y")</f>
        <v>9</v>
      </c>
      <c r="J109" s="6" t="str" cm="1">
        <f t="array" ref="J109">_xlfn.IFS(H109&lt;=49,"Needs Improvement",H109&lt;=69,"Developing",H109&lt;=84,"Achieving",H109&lt;=94,"Exceeding",H109&lt;=100,"Outstanding")</f>
        <v>Achieving</v>
      </c>
      <c r="K109" s="6">
        <f>_xlfn.XLOOKUP(J109,Lookup_Performance!$C$2:$C$6,Lookup_Performance!$D$2:$D$6,"N/A",0)</f>
        <v>0.05</v>
      </c>
      <c r="L109" s="7">
        <f t="shared" si="1"/>
        <v>3886.8500000000004</v>
      </c>
      <c r="M109" t="s">
        <v>18</v>
      </c>
      <c r="N109" t="str">
        <f>TRIM(CLEAN(Table1[[#This Row],[Employment Status]]))</f>
        <v>Active</v>
      </c>
    </row>
    <row r="110" spans="1:14" x14ac:dyDescent="0.25">
      <c r="A110" t="s">
        <v>130</v>
      </c>
      <c r="B110" t="s">
        <v>232</v>
      </c>
      <c r="C110" t="s">
        <v>17</v>
      </c>
      <c r="D110" t="str">
        <f>_xlfn.XLOOKUP(C110,Lookup_Departments!$A$2:$A$7,Lookup_Departments!$B$2:$B$7,"Invalid Dept_Code",0)</f>
        <v>Sales</v>
      </c>
      <c r="E110" s="25">
        <v>43513</v>
      </c>
      <c r="F110" s="2" t="str">
        <f>TEXT(Table1[[#This Row],[Hire Date  ]],"yyyy")</f>
        <v>2019</v>
      </c>
      <c r="G110" s="8">
        <v>95686</v>
      </c>
      <c r="H110">
        <v>91</v>
      </c>
      <c r="I110" s="4">
        <f ca="1">DATEDIF(E110,TODAY(),"Y")</f>
        <v>7</v>
      </c>
      <c r="J110" s="6" t="str" cm="1">
        <f t="array" ref="J110">_xlfn.IFS(H110&lt;=49,"Needs Improvement",H110&lt;=69,"Developing",H110&lt;=84,"Achieving",H110&lt;=94,"Exceeding",H110&lt;=100,"Outstanding")</f>
        <v>Exceeding</v>
      </c>
      <c r="K110" s="6">
        <f>_xlfn.XLOOKUP(J110,Lookup_Performance!$C$2:$C$6,Lookup_Performance!$D$2:$D$6,"N/A",0)</f>
        <v>0.08</v>
      </c>
      <c r="L110" s="7">
        <f t="shared" si="1"/>
        <v>7654.88</v>
      </c>
      <c r="M110" t="s">
        <v>18</v>
      </c>
      <c r="N110" t="str">
        <f>TRIM(CLEAN(Table1[[#This Row],[Employment Status]]))</f>
        <v>Active</v>
      </c>
    </row>
    <row r="111" spans="1:14" x14ac:dyDescent="0.25">
      <c r="A111" t="s">
        <v>131</v>
      </c>
      <c r="B111" t="s">
        <v>204</v>
      </c>
      <c r="C111" t="s">
        <v>17</v>
      </c>
      <c r="D111" t="str">
        <f>_xlfn.XLOOKUP(C111,Lookup_Departments!$A$2:$A$7,Lookup_Departments!$B$2:$B$7,"Invalid Dept_Code",0)</f>
        <v>Sales</v>
      </c>
      <c r="E111" s="25">
        <v>42625</v>
      </c>
      <c r="F111" s="2" t="str">
        <f>TEXT(Table1[[#This Row],[Hire Date  ]],"yyyy")</f>
        <v>2016</v>
      </c>
      <c r="G111" s="8">
        <v>114681</v>
      </c>
      <c r="H111">
        <v>36</v>
      </c>
      <c r="I111" s="4">
        <f ca="1">DATEDIF(E111,TODAY(),"Y")</f>
        <v>9</v>
      </c>
      <c r="J111" s="6" t="str" cm="1">
        <f t="array" ref="J111">_xlfn.IFS(H111&lt;=49,"Needs Improvement",H111&lt;=69,"Developing",H111&lt;=84,"Achieving",H111&lt;=94,"Exceeding",H111&lt;=100,"Outstanding")</f>
        <v>Needs Improvement</v>
      </c>
      <c r="K111" s="6">
        <f>_xlfn.XLOOKUP(J111,Lookup_Performance!$C$2:$C$6,Lookup_Performance!$D$2:$D$6,"N/A",0)</f>
        <v>0</v>
      </c>
      <c r="L111" s="7">
        <f t="shared" si="1"/>
        <v>0</v>
      </c>
      <c r="M111" t="s">
        <v>18</v>
      </c>
      <c r="N111" t="str">
        <f>TRIM(CLEAN(Table1[[#This Row],[Employment Status]]))</f>
        <v>Active</v>
      </c>
    </row>
    <row r="112" spans="1:14" x14ac:dyDescent="0.25">
      <c r="A112" t="s">
        <v>132</v>
      </c>
      <c r="B112" t="s">
        <v>253</v>
      </c>
      <c r="C112" t="s">
        <v>12</v>
      </c>
      <c r="D112" t="str">
        <f>_xlfn.XLOOKUP(C112,Lookup_Departments!$A$2:$A$7,Lookup_Departments!$B$2:$B$7,"Invalid Dept_Code",0)</f>
        <v>Operations</v>
      </c>
      <c r="E112" s="25">
        <v>44421</v>
      </c>
      <c r="F112" s="2" t="str">
        <f>TEXT(Table1[[#This Row],[Hire Date  ]],"yyyy")</f>
        <v>2021</v>
      </c>
      <c r="G112" s="8">
        <v>109121</v>
      </c>
      <c r="H112">
        <v>72</v>
      </c>
      <c r="I112" s="4">
        <f ca="1">DATEDIF(E112,TODAY(),"Y")</f>
        <v>4</v>
      </c>
      <c r="J112" s="6" t="str" cm="1">
        <f t="array" ref="J112">_xlfn.IFS(H112&lt;=49,"Needs Improvement",H112&lt;=69,"Developing",H112&lt;=84,"Achieving",H112&lt;=94,"Exceeding",H112&lt;=100,"Outstanding")</f>
        <v>Achieving</v>
      </c>
      <c r="K112" s="6">
        <f>_xlfn.XLOOKUP(J112,Lookup_Performance!$C$2:$C$6,Lookup_Performance!$D$2:$D$6,"N/A",0)</f>
        <v>0.05</v>
      </c>
      <c r="L112" s="7">
        <f t="shared" si="1"/>
        <v>5456.05</v>
      </c>
      <c r="M112" t="s">
        <v>18</v>
      </c>
      <c r="N112" t="str">
        <f>TRIM(CLEAN(Table1[[#This Row],[Employment Status]]))</f>
        <v>Active</v>
      </c>
    </row>
    <row r="113" spans="1:14" x14ac:dyDescent="0.25">
      <c r="A113" t="s">
        <v>133</v>
      </c>
      <c r="B113" t="s">
        <v>283</v>
      </c>
      <c r="C113" t="s">
        <v>5</v>
      </c>
      <c r="D113" t="str">
        <f>_xlfn.XLOOKUP(C113,Lookup_Departments!$A$2:$A$7,Lookup_Departments!$B$2:$B$7,"Invalid Dept_Code",0)</f>
        <v>Marketing</v>
      </c>
      <c r="E113" s="25">
        <v>43996</v>
      </c>
      <c r="F113" s="2" t="str">
        <f>TEXT(Table1[[#This Row],[Hire Date  ]],"yyyy")</f>
        <v>2020</v>
      </c>
      <c r="G113" s="8">
        <v>112791</v>
      </c>
      <c r="H113">
        <v>87</v>
      </c>
      <c r="I113" s="4">
        <f ca="1">DATEDIF(E113,TODAY(),"Y")</f>
        <v>6</v>
      </c>
      <c r="J113" s="6" t="str" cm="1">
        <f t="array" ref="J113">_xlfn.IFS(H113&lt;=49,"Needs Improvement",H113&lt;=69,"Developing",H113&lt;=84,"Achieving",H113&lt;=94,"Exceeding",H113&lt;=100,"Outstanding")</f>
        <v>Exceeding</v>
      </c>
      <c r="K113" s="6">
        <f>_xlfn.XLOOKUP(J113,Lookup_Performance!$C$2:$C$6,Lookup_Performance!$D$2:$D$6,"N/A",0)</f>
        <v>0.08</v>
      </c>
      <c r="L113" s="7">
        <f t="shared" si="1"/>
        <v>9023.2800000000007</v>
      </c>
      <c r="M113" t="s">
        <v>18</v>
      </c>
      <c r="N113" t="str">
        <f>TRIM(CLEAN(Table1[[#This Row],[Employment Status]]))</f>
        <v>Active</v>
      </c>
    </row>
    <row r="114" spans="1:14" x14ac:dyDescent="0.25">
      <c r="A114" t="s">
        <v>134</v>
      </c>
      <c r="B114" t="s">
        <v>284</v>
      </c>
      <c r="C114" t="s">
        <v>3</v>
      </c>
      <c r="D114" t="str">
        <f>_xlfn.XLOOKUP(C114,Lookup_Departments!$A$2:$A$7,Lookup_Departments!$B$2:$B$7,"Invalid Dept_Code",0)</f>
        <v>Information Technology</v>
      </c>
      <c r="E114" s="25">
        <v>8222</v>
      </c>
      <c r="F114" s="2" t="str">
        <f>TEXT(Table1[[#This Row],[Hire Date  ]],"yyyy")</f>
        <v>1922</v>
      </c>
      <c r="G114" s="8">
        <v>118008</v>
      </c>
      <c r="H114">
        <v>71</v>
      </c>
      <c r="I114" s="4">
        <f ca="1">DATEDIF(E114,TODAY(),"Y")</f>
        <v>104</v>
      </c>
      <c r="J114" s="6" t="str" cm="1">
        <f t="array" ref="J114">_xlfn.IFS(H114&lt;=49,"Needs Improvement",H114&lt;=69,"Developing",H114&lt;=84,"Achieving",H114&lt;=94,"Exceeding",H114&lt;=100,"Outstanding")</f>
        <v>Achieving</v>
      </c>
      <c r="K114" s="6">
        <f>_xlfn.XLOOKUP(J114,Lookup_Performance!$C$2:$C$6,Lookup_Performance!$D$2:$D$6,"N/A",0)</f>
        <v>0.05</v>
      </c>
      <c r="L114" s="7">
        <f t="shared" si="1"/>
        <v>5900.4000000000005</v>
      </c>
      <c r="M114" t="s">
        <v>18</v>
      </c>
      <c r="N114" t="str">
        <f>TRIM(CLEAN(Table1[[#This Row],[Employment Status]]))</f>
        <v>Active</v>
      </c>
    </row>
    <row r="115" spans="1:14" x14ac:dyDescent="0.25">
      <c r="A115" t="s">
        <v>135</v>
      </c>
      <c r="B115" t="s">
        <v>272</v>
      </c>
      <c r="C115" t="s">
        <v>3</v>
      </c>
      <c r="D115" t="str">
        <f>_xlfn.XLOOKUP(C115,Lookup_Departments!$A$2:$A$7,Lookup_Departments!$B$2:$B$7,"Invalid Dept_Code",0)</f>
        <v>Information Technology</v>
      </c>
      <c r="E115" s="25" t="s">
        <v>136</v>
      </c>
      <c r="F115" s="2" t="str">
        <f>TEXT(Table1[[#This Row],[Hire Date  ]],"yyyy")</f>
        <v>2016</v>
      </c>
      <c r="G115" s="8">
        <v>74370</v>
      </c>
      <c r="H115">
        <v>82</v>
      </c>
      <c r="I115" s="4">
        <f ca="1">DATEDIF(E115,TODAY(),"Y")</f>
        <v>9</v>
      </c>
      <c r="J115" s="6" t="str" cm="1">
        <f t="array" ref="J115">_xlfn.IFS(H115&lt;=49,"Needs Improvement",H115&lt;=69,"Developing",H115&lt;=84,"Achieving",H115&lt;=94,"Exceeding",H115&lt;=100,"Outstanding")</f>
        <v>Achieving</v>
      </c>
      <c r="K115" s="6">
        <f>_xlfn.XLOOKUP(J115,Lookup_Performance!$C$2:$C$6,Lookup_Performance!$D$2:$D$6,"N/A",0)</f>
        <v>0.05</v>
      </c>
      <c r="L115" s="7">
        <f t="shared" si="1"/>
        <v>3718.5</v>
      </c>
      <c r="M115" t="s">
        <v>18</v>
      </c>
      <c r="N115" t="str">
        <f>TRIM(CLEAN(Table1[[#This Row],[Employment Status]]))</f>
        <v>Active</v>
      </c>
    </row>
    <row r="116" spans="1:14" x14ac:dyDescent="0.25">
      <c r="A116" t="s">
        <v>137</v>
      </c>
      <c r="B116" t="s">
        <v>285</v>
      </c>
      <c r="C116" t="s">
        <v>3</v>
      </c>
      <c r="D116" t="str">
        <f>_xlfn.XLOOKUP(C116,Lookup_Departments!$A$2:$A$7,Lookup_Departments!$B$2:$B$7,"Invalid Dept_Code",0)</f>
        <v>Information Technology</v>
      </c>
      <c r="E116" s="25">
        <v>44674</v>
      </c>
      <c r="F116" s="2" t="str">
        <f>TEXT(Table1[[#This Row],[Hire Date  ]],"yyyy")</f>
        <v>2022</v>
      </c>
      <c r="G116" s="8">
        <v>77819</v>
      </c>
      <c r="H116">
        <v>79</v>
      </c>
      <c r="I116" s="4">
        <f ca="1">DATEDIF(E116,TODAY(),"Y")</f>
        <v>4</v>
      </c>
      <c r="J116" s="6" t="str" cm="1">
        <f t="array" ref="J116">_xlfn.IFS(H116&lt;=49,"Needs Improvement",H116&lt;=69,"Developing",H116&lt;=84,"Achieving",H116&lt;=94,"Exceeding",H116&lt;=100,"Outstanding")</f>
        <v>Achieving</v>
      </c>
      <c r="K116" s="6">
        <f>_xlfn.XLOOKUP(J116,Lookup_Performance!$C$2:$C$6,Lookup_Performance!$D$2:$D$6,"N/A",0)</f>
        <v>0.05</v>
      </c>
      <c r="L116" s="7">
        <f t="shared" si="1"/>
        <v>3890.9500000000003</v>
      </c>
      <c r="M116" t="s">
        <v>18</v>
      </c>
      <c r="N116" t="str">
        <f>TRIM(CLEAN(Table1[[#This Row],[Employment Status]]))</f>
        <v>Active</v>
      </c>
    </row>
    <row r="117" spans="1:14" x14ac:dyDescent="0.25">
      <c r="A117" t="s">
        <v>138</v>
      </c>
      <c r="B117" t="s">
        <v>210</v>
      </c>
      <c r="C117" t="s">
        <v>5</v>
      </c>
      <c r="D117" t="str">
        <f>_xlfn.XLOOKUP(C117,Lookup_Departments!$A$2:$A$7,Lookup_Departments!$B$2:$B$7,"Invalid Dept_Code",0)</f>
        <v>Marketing</v>
      </c>
      <c r="E117" s="25" t="s">
        <v>139</v>
      </c>
      <c r="F117" s="2" t="str">
        <f>TEXT(Table1[[#This Row],[Hire Date  ]],"yyyy")</f>
        <v>2017</v>
      </c>
      <c r="G117" s="8">
        <v>48748</v>
      </c>
      <c r="H117">
        <v>83</v>
      </c>
      <c r="I117" s="4">
        <f ca="1">DATEDIF(E117,TODAY(),"Y")</f>
        <v>9</v>
      </c>
      <c r="J117" s="6" t="str" cm="1">
        <f t="array" ref="J117">_xlfn.IFS(H117&lt;=49,"Needs Improvement",H117&lt;=69,"Developing",H117&lt;=84,"Achieving",H117&lt;=94,"Exceeding",H117&lt;=100,"Outstanding")</f>
        <v>Achieving</v>
      </c>
      <c r="K117" s="6">
        <f>_xlfn.XLOOKUP(J117,Lookup_Performance!$C$2:$C$6,Lookup_Performance!$D$2:$D$6,"N/A",0)</f>
        <v>0.05</v>
      </c>
      <c r="L117" s="7">
        <f t="shared" si="1"/>
        <v>2437.4</v>
      </c>
      <c r="M117" t="s">
        <v>18</v>
      </c>
      <c r="N117" t="str">
        <f>TRIM(CLEAN(Table1[[#This Row],[Employment Status]]))</f>
        <v>Active</v>
      </c>
    </row>
    <row r="118" spans="1:14" x14ac:dyDescent="0.25">
      <c r="A118" t="s">
        <v>140</v>
      </c>
      <c r="B118" t="s">
        <v>286</v>
      </c>
      <c r="C118" t="s">
        <v>12</v>
      </c>
      <c r="D118" t="str">
        <f>_xlfn.XLOOKUP(C118,Lookup_Departments!$A$2:$A$7,Lookup_Departments!$B$2:$B$7,"Invalid Dept_Code",0)</f>
        <v>Operations</v>
      </c>
      <c r="E118" s="25">
        <v>43971</v>
      </c>
      <c r="F118" s="2" t="str">
        <f>TEXT(Table1[[#This Row],[Hire Date  ]],"yyyy")</f>
        <v>2020</v>
      </c>
      <c r="G118" s="8">
        <v>101997</v>
      </c>
      <c r="H118">
        <v>38</v>
      </c>
      <c r="I118" s="4">
        <f ca="1">DATEDIF(E118,TODAY(),"Y")</f>
        <v>6</v>
      </c>
      <c r="J118" s="6" t="str" cm="1">
        <f t="array" ref="J118">_xlfn.IFS(H118&lt;=49,"Needs Improvement",H118&lt;=69,"Developing",H118&lt;=84,"Achieving",H118&lt;=94,"Exceeding",H118&lt;=100,"Outstanding")</f>
        <v>Needs Improvement</v>
      </c>
      <c r="K118" s="6">
        <f>_xlfn.XLOOKUP(J118,Lookup_Performance!$C$2:$C$6,Lookup_Performance!$D$2:$D$6,"N/A",0)</f>
        <v>0</v>
      </c>
      <c r="L118" s="7">
        <f t="shared" si="1"/>
        <v>0</v>
      </c>
      <c r="M118" t="s">
        <v>55</v>
      </c>
      <c r="N118" t="str">
        <f>TRIM(CLEAN(Table1[[#This Row],[Employment Status]]))</f>
        <v>Resigned</v>
      </c>
    </row>
    <row r="119" spans="1:14" x14ac:dyDescent="0.25">
      <c r="A119" t="s">
        <v>141</v>
      </c>
      <c r="B119" t="s">
        <v>287</v>
      </c>
      <c r="C119" t="s">
        <v>43</v>
      </c>
      <c r="D119" t="str">
        <f>_xlfn.XLOOKUP(C119,Lookup_Departments!$A$2:$A$7,Lookup_Departments!$B$2:$B$7,"Invalid Dept_Code",0)</f>
        <v>Human Resources</v>
      </c>
      <c r="E119" s="25" t="s">
        <v>142</v>
      </c>
      <c r="F119" s="2" t="str">
        <f>TEXT(Table1[[#This Row],[Hire Date  ]],"yyyy")</f>
        <v>2023</v>
      </c>
      <c r="G119" s="8">
        <v>115260</v>
      </c>
      <c r="H119">
        <v>77</v>
      </c>
      <c r="I119" s="4">
        <f ca="1">DATEDIF(E119,TODAY(),"Y")</f>
        <v>3</v>
      </c>
      <c r="J119" s="6" t="str" cm="1">
        <f t="array" ref="J119">_xlfn.IFS(H119&lt;=49,"Needs Improvement",H119&lt;=69,"Developing",H119&lt;=84,"Achieving",H119&lt;=94,"Exceeding",H119&lt;=100,"Outstanding")</f>
        <v>Achieving</v>
      </c>
      <c r="K119" s="6">
        <f>_xlfn.XLOOKUP(J119,Lookup_Performance!$C$2:$C$6,Lookup_Performance!$D$2:$D$6,"N/A",0)</f>
        <v>0.05</v>
      </c>
      <c r="L119" s="7">
        <f t="shared" si="1"/>
        <v>5763</v>
      </c>
      <c r="M119" t="s">
        <v>18</v>
      </c>
      <c r="N119" t="str">
        <f>TRIM(CLEAN(Table1[[#This Row],[Employment Status]]))</f>
        <v>Active</v>
      </c>
    </row>
    <row r="120" spans="1:14" x14ac:dyDescent="0.25">
      <c r="A120" t="s">
        <v>143</v>
      </c>
      <c r="B120" t="s">
        <v>288</v>
      </c>
      <c r="C120" t="s">
        <v>17</v>
      </c>
      <c r="D120" t="str">
        <f>_xlfn.XLOOKUP(C120,Lookup_Departments!$A$2:$A$7,Lookup_Departments!$B$2:$B$7,"Invalid Dept_Code",0)</f>
        <v>Sales</v>
      </c>
      <c r="E120" s="25">
        <v>44500</v>
      </c>
      <c r="F120" s="2" t="str">
        <f>TEXT(Table1[[#This Row],[Hire Date  ]],"yyyy")</f>
        <v>2021</v>
      </c>
      <c r="G120" s="8">
        <v>80907</v>
      </c>
      <c r="H120">
        <v>49</v>
      </c>
      <c r="I120" s="4">
        <f ca="1">DATEDIF(E120,TODAY(),"Y")</f>
        <v>4</v>
      </c>
      <c r="J120" s="6" t="str" cm="1">
        <f t="array" ref="J120">_xlfn.IFS(H120&lt;=49,"Needs Improvement",H120&lt;=69,"Developing",H120&lt;=84,"Achieving",H120&lt;=94,"Exceeding",H120&lt;=100,"Outstanding")</f>
        <v>Needs Improvement</v>
      </c>
      <c r="K120" s="6">
        <f>_xlfn.XLOOKUP(J120,Lookup_Performance!$C$2:$C$6,Lookup_Performance!$D$2:$D$6,"N/A",0)</f>
        <v>0</v>
      </c>
      <c r="L120" s="7">
        <f t="shared" si="1"/>
        <v>0</v>
      </c>
      <c r="M120" t="s">
        <v>18</v>
      </c>
      <c r="N120" t="str">
        <f>TRIM(CLEAN(Table1[[#This Row],[Employment Status]]))</f>
        <v>Active</v>
      </c>
    </row>
    <row r="121" spans="1:14" x14ac:dyDescent="0.25">
      <c r="A121" t="s">
        <v>144</v>
      </c>
      <c r="B121" t="s">
        <v>230</v>
      </c>
      <c r="C121" t="s">
        <v>3</v>
      </c>
      <c r="D121" t="str">
        <f>_xlfn.XLOOKUP(C121,Lookup_Departments!$A$2:$A$7,Lookup_Departments!$B$2:$B$7,"Invalid Dept_Code",0)</f>
        <v>Information Technology</v>
      </c>
      <c r="E121" s="25">
        <v>7968</v>
      </c>
      <c r="F121" s="2" t="str">
        <f>TEXT(Table1[[#This Row],[Hire Date  ]],"yyyy")</f>
        <v>1921</v>
      </c>
      <c r="G121" s="8">
        <v>74560</v>
      </c>
      <c r="H121">
        <v>69</v>
      </c>
      <c r="I121" s="4">
        <f ca="1">DATEDIF(E121,TODAY(),"Y")</f>
        <v>104</v>
      </c>
      <c r="J121" s="6" t="str" cm="1">
        <f t="array" ref="J121">_xlfn.IFS(H121&lt;=49,"Needs Improvement",H121&lt;=69,"Developing",H121&lt;=84,"Achieving",H121&lt;=94,"Exceeding",H121&lt;=100,"Outstanding")</f>
        <v>Developing</v>
      </c>
      <c r="K121" s="6">
        <f>_xlfn.XLOOKUP(J121,Lookup_Performance!$C$2:$C$6,Lookup_Performance!$D$2:$D$6,"N/A",0)</f>
        <v>0.02</v>
      </c>
      <c r="L121" s="7">
        <f t="shared" si="1"/>
        <v>1491.2</v>
      </c>
      <c r="M121" t="s">
        <v>10</v>
      </c>
      <c r="N121" t="str">
        <f>TRIM(CLEAN(Table1[[#This Row],[Employment Status]]))</f>
        <v>Left</v>
      </c>
    </row>
    <row r="122" spans="1:14" x14ac:dyDescent="0.25">
      <c r="A122" t="s">
        <v>145</v>
      </c>
      <c r="B122" t="s">
        <v>289</v>
      </c>
      <c r="C122" t="s">
        <v>17</v>
      </c>
      <c r="D122" t="str">
        <f>_xlfn.XLOOKUP(C122,Lookup_Departments!$A$2:$A$7,Lookup_Departments!$B$2:$B$7,"Invalid Dept_Code",0)</f>
        <v>Sales</v>
      </c>
      <c r="E122" s="25">
        <v>42956</v>
      </c>
      <c r="F122" s="2" t="str">
        <f>TEXT(Table1[[#This Row],[Hire Date  ]],"yyyy")</f>
        <v>2017</v>
      </c>
      <c r="G122" s="8">
        <v>80907</v>
      </c>
      <c r="H122">
        <v>76</v>
      </c>
      <c r="I122" s="4">
        <f ca="1">DATEDIF(E122,TODAY(),"Y")</f>
        <v>8</v>
      </c>
      <c r="J122" s="6" t="str" cm="1">
        <f t="array" ref="J122">_xlfn.IFS(H122&lt;=49,"Needs Improvement",H122&lt;=69,"Developing",H122&lt;=84,"Achieving",H122&lt;=94,"Exceeding",H122&lt;=100,"Outstanding")</f>
        <v>Achieving</v>
      </c>
      <c r="K122" s="6">
        <f>_xlfn.XLOOKUP(J122,Lookup_Performance!$C$2:$C$6,Lookup_Performance!$D$2:$D$6,"N/A",0)</f>
        <v>0.05</v>
      </c>
      <c r="L122" s="7">
        <f t="shared" si="1"/>
        <v>4045.3500000000004</v>
      </c>
      <c r="M122" t="s">
        <v>18</v>
      </c>
      <c r="N122" t="str">
        <f>TRIM(CLEAN(Table1[[#This Row],[Employment Status]]))</f>
        <v>Active</v>
      </c>
    </row>
    <row r="123" spans="1:14" x14ac:dyDescent="0.25">
      <c r="A123" t="s">
        <v>146</v>
      </c>
      <c r="B123" t="s">
        <v>290</v>
      </c>
      <c r="C123" t="s">
        <v>12</v>
      </c>
      <c r="D123" t="str">
        <f>_xlfn.XLOOKUP(C123,Lookup_Departments!$A$2:$A$7,Lookup_Departments!$B$2:$B$7,"Invalid Dept_Code",0)</f>
        <v>Operations</v>
      </c>
      <c r="E123" s="25">
        <v>44930</v>
      </c>
      <c r="F123" s="2" t="str">
        <f>TEXT(Table1[[#This Row],[Hire Date  ]],"yyyy")</f>
        <v>2023</v>
      </c>
      <c r="G123" s="8">
        <v>60623</v>
      </c>
      <c r="H123">
        <v>78</v>
      </c>
      <c r="I123" s="4">
        <f ca="1">DATEDIF(E123,TODAY(),"Y")</f>
        <v>3</v>
      </c>
      <c r="J123" s="6" t="str" cm="1">
        <f t="array" ref="J123">_xlfn.IFS(H123&lt;=49,"Needs Improvement",H123&lt;=69,"Developing",H123&lt;=84,"Achieving",H123&lt;=94,"Exceeding",H123&lt;=100,"Outstanding")</f>
        <v>Achieving</v>
      </c>
      <c r="K123" s="6">
        <f>_xlfn.XLOOKUP(J123,Lookup_Performance!$C$2:$C$6,Lookup_Performance!$D$2:$D$6,"N/A",0)</f>
        <v>0.05</v>
      </c>
      <c r="L123" s="7">
        <f t="shared" si="1"/>
        <v>3031.15</v>
      </c>
      <c r="M123" t="s">
        <v>18</v>
      </c>
      <c r="N123" t="str">
        <f>TRIM(CLEAN(Table1[[#This Row],[Employment Status]]))</f>
        <v>Active</v>
      </c>
    </row>
    <row r="124" spans="1:14" x14ac:dyDescent="0.25">
      <c r="A124" t="s">
        <v>147</v>
      </c>
      <c r="B124" t="s">
        <v>242</v>
      </c>
      <c r="C124" t="s">
        <v>43</v>
      </c>
      <c r="D124" t="str">
        <f>_xlfn.XLOOKUP(C124,Lookup_Departments!$A$2:$A$7,Lookup_Departments!$B$2:$B$7,"Invalid Dept_Code",0)</f>
        <v>Human Resources</v>
      </c>
      <c r="E124" s="25">
        <v>44053</v>
      </c>
      <c r="F124" s="2" t="str">
        <f>TEXT(Table1[[#This Row],[Hire Date  ]],"yyyy")</f>
        <v>2020</v>
      </c>
      <c r="G124" s="8">
        <v>68092</v>
      </c>
      <c r="H124">
        <v>93</v>
      </c>
      <c r="I124" s="4">
        <f ca="1">DATEDIF(E124,TODAY(),"Y")</f>
        <v>5</v>
      </c>
      <c r="J124" s="6" t="str" cm="1">
        <f t="array" ref="J124">_xlfn.IFS(H124&lt;=49,"Needs Improvement",H124&lt;=69,"Developing",H124&lt;=84,"Achieving",H124&lt;=94,"Exceeding",H124&lt;=100,"Outstanding")</f>
        <v>Exceeding</v>
      </c>
      <c r="K124" s="6">
        <f>_xlfn.XLOOKUP(J124,Lookup_Performance!$C$2:$C$6,Lookup_Performance!$D$2:$D$6,"N/A",0)</f>
        <v>0.08</v>
      </c>
      <c r="L124" s="7">
        <f t="shared" si="1"/>
        <v>5447.36</v>
      </c>
      <c r="M124" t="s">
        <v>18</v>
      </c>
      <c r="N124" t="str">
        <f>TRIM(CLEAN(Table1[[#This Row],[Employment Status]]))</f>
        <v>Active</v>
      </c>
    </row>
    <row r="125" spans="1:14" x14ac:dyDescent="0.25">
      <c r="A125" t="s">
        <v>148</v>
      </c>
      <c r="B125" t="s">
        <v>222</v>
      </c>
      <c r="C125" t="s">
        <v>5</v>
      </c>
      <c r="D125" t="str">
        <f>_xlfn.XLOOKUP(C125,Lookup_Departments!$A$2:$A$7,Lookup_Departments!$B$2:$B$7,"Invalid Dept_Code",0)</f>
        <v>Marketing</v>
      </c>
      <c r="E125" s="25">
        <v>44653</v>
      </c>
      <c r="F125" s="2" t="str">
        <f>TEXT(Table1[[#This Row],[Hire Date  ]],"yyyy")</f>
        <v>2022</v>
      </c>
      <c r="G125" s="8">
        <v>88155</v>
      </c>
      <c r="H125">
        <v>68</v>
      </c>
      <c r="I125" s="4">
        <f ca="1">DATEDIF(E125,TODAY(),"Y")</f>
        <v>4</v>
      </c>
      <c r="J125" s="6" t="str" cm="1">
        <f t="array" ref="J125">_xlfn.IFS(H125&lt;=49,"Needs Improvement",H125&lt;=69,"Developing",H125&lt;=84,"Achieving",H125&lt;=94,"Exceeding",H125&lt;=100,"Outstanding")</f>
        <v>Developing</v>
      </c>
      <c r="K125" s="6">
        <f>_xlfn.XLOOKUP(J125,Lookup_Performance!$C$2:$C$6,Lookup_Performance!$D$2:$D$6,"N/A",0)</f>
        <v>0.02</v>
      </c>
      <c r="L125" s="7">
        <f t="shared" si="1"/>
        <v>1763.1000000000001</v>
      </c>
      <c r="M125" t="s">
        <v>18</v>
      </c>
      <c r="N125" t="str">
        <f>TRIM(CLEAN(Table1[[#This Row],[Employment Status]]))</f>
        <v>Active</v>
      </c>
    </row>
    <row r="126" spans="1:14" x14ac:dyDescent="0.25">
      <c r="A126" t="s">
        <v>149</v>
      </c>
      <c r="B126" t="s">
        <v>291</v>
      </c>
      <c r="C126" t="s">
        <v>5</v>
      </c>
      <c r="D126" t="str">
        <f>_xlfn.XLOOKUP(C126,Lookup_Departments!$A$2:$A$7,Lookup_Departments!$B$2:$B$7,"Invalid Dept_Code",0)</f>
        <v>Marketing</v>
      </c>
      <c r="E126" s="25">
        <v>43183</v>
      </c>
      <c r="F126" s="2" t="str">
        <f>TEXT(Table1[[#This Row],[Hire Date  ]],"yyyy")</f>
        <v>2018</v>
      </c>
      <c r="G126" s="8">
        <v>107903</v>
      </c>
      <c r="H126">
        <v>42</v>
      </c>
      <c r="I126" s="4">
        <f ca="1">DATEDIF(E126,TODAY(),"Y")</f>
        <v>8</v>
      </c>
      <c r="J126" s="6" t="str" cm="1">
        <f t="array" ref="J126">_xlfn.IFS(H126&lt;=49,"Needs Improvement",H126&lt;=69,"Developing",H126&lt;=84,"Achieving",H126&lt;=94,"Exceeding",H126&lt;=100,"Outstanding")</f>
        <v>Needs Improvement</v>
      </c>
      <c r="K126" s="6">
        <f>_xlfn.XLOOKUP(J126,Lookup_Performance!$C$2:$C$6,Lookup_Performance!$D$2:$D$6,"N/A",0)</f>
        <v>0</v>
      </c>
      <c r="L126" s="7">
        <f t="shared" si="1"/>
        <v>0</v>
      </c>
      <c r="M126" t="s">
        <v>18</v>
      </c>
      <c r="N126" t="str">
        <f>TRIM(CLEAN(Table1[[#This Row],[Employment Status]]))</f>
        <v>Active</v>
      </c>
    </row>
    <row r="127" spans="1:14" x14ac:dyDescent="0.25">
      <c r="A127" t="s">
        <v>150</v>
      </c>
      <c r="B127" t="s">
        <v>280</v>
      </c>
      <c r="C127" t="s">
        <v>3</v>
      </c>
      <c r="D127" t="str">
        <f>_xlfn.XLOOKUP(C127,Lookup_Departments!$A$2:$A$7,Lookup_Departments!$B$2:$B$7,"Invalid Dept_Code",0)</f>
        <v>Information Technology</v>
      </c>
      <c r="E127" s="25">
        <v>43305</v>
      </c>
      <c r="F127" s="2" t="str">
        <f>TEXT(Table1[[#This Row],[Hire Date  ]],"yyyy")</f>
        <v>2018</v>
      </c>
      <c r="G127" s="8">
        <v>62818</v>
      </c>
      <c r="H127">
        <v>34</v>
      </c>
      <c r="I127" s="4">
        <f ca="1">DATEDIF(E127,TODAY(),"Y")</f>
        <v>7</v>
      </c>
      <c r="J127" s="6" t="str" cm="1">
        <f t="array" ref="J127">_xlfn.IFS(H127&lt;=49,"Needs Improvement",H127&lt;=69,"Developing",H127&lt;=84,"Achieving",H127&lt;=94,"Exceeding",H127&lt;=100,"Outstanding")</f>
        <v>Needs Improvement</v>
      </c>
      <c r="K127" s="6">
        <f>_xlfn.XLOOKUP(J127,Lookup_Performance!$C$2:$C$6,Lookup_Performance!$D$2:$D$6,"N/A",0)</f>
        <v>0</v>
      </c>
      <c r="L127" s="7">
        <f t="shared" si="1"/>
        <v>0</v>
      </c>
      <c r="M127" t="s">
        <v>18</v>
      </c>
      <c r="N127" t="str">
        <f>TRIM(CLEAN(Table1[[#This Row],[Employment Status]]))</f>
        <v>Active</v>
      </c>
    </row>
    <row r="128" spans="1:14" x14ac:dyDescent="0.25">
      <c r="A128" t="s">
        <v>151</v>
      </c>
      <c r="B128" t="s">
        <v>267</v>
      </c>
      <c r="C128" t="s">
        <v>43</v>
      </c>
      <c r="D128" t="str">
        <f>_xlfn.XLOOKUP(C128,Lookup_Departments!$A$2:$A$7,Lookup_Departments!$B$2:$B$7,"Invalid Dept_Code",0)</f>
        <v>Human Resources</v>
      </c>
      <c r="E128" s="25">
        <v>43301</v>
      </c>
      <c r="F128" s="2" t="str">
        <f>TEXT(Table1[[#This Row],[Hire Date  ]],"yyyy")</f>
        <v>2018</v>
      </c>
      <c r="G128" s="8">
        <v>85151</v>
      </c>
      <c r="H128">
        <v>35</v>
      </c>
      <c r="I128" s="4">
        <f ca="1">DATEDIF(E128,TODAY(),"Y")</f>
        <v>7</v>
      </c>
      <c r="J128" s="6" t="str" cm="1">
        <f t="array" ref="J128">_xlfn.IFS(H128&lt;=49,"Needs Improvement",H128&lt;=69,"Developing",H128&lt;=84,"Achieving",H128&lt;=94,"Exceeding",H128&lt;=100,"Outstanding")</f>
        <v>Needs Improvement</v>
      </c>
      <c r="K128" s="6">
        <f>_xlfn.XLOOKUP(J128,Lookup_Performance!$C$2:$C$6,Lookup_Performance!$D$2:$D$6,"N/A",0)</f>
        <v>0</v>
      </c>
      <c r="L128" s="7">
        <f t="shared" si="1"/>
        <v>0</v>
      </c>
      <c r="M128" t="s">
        <v>18</v>
      </c>
      <c r="N128" t="str">
        <f>TRIM(CLEAN(Table1[[#This Row],[Employment Status]]))</f>
        <v>Active</v>
      </c>
    </row>
    <row r="129" spans="1:14" x14ac:dyDescent="0.25">
      <c r="A129" t="s">
        <v>152</v>
      </c>
      <c r="B129" t="s">
        <v>243</v>
      </c>
      <c r="C129" t="s">
        <v>8</v>
      </c>
      <c r="D129" t="str">
        <f>_xlfn.XLOOKUP(C129,Lookup_Departments!$A$2:$A$7,Lookup_Departments!$B$2:$B$7,"Invalid Dept_Code",0)</f>
        <v>Finance</v>
      </c>
      <c r="E129" s="25">
        <v>42433</v>
      </c>
      <c r="F129" s="2" t="str">
        <f>TEXT(Table1[[#This Row],[Hire Date  ]],"yyyy")</f>
        <v>2016</v>
      </c>
      <c r="G129" s="8">
        <v>46390</v>
      </c>
      <c r="H129">
        <v>95</v>
      </c>
      <c r="I129" s="4">
        <f ca="1">DATEDIF(E129,TODAY(),"Y")</f>
        <v>10</v>
      </c>
      <c r="J129" s="6" t="str" cm="1">
        <f t="array" ref="J129">_xlfn.IFS(H129&lt;=49,"Needs Improvement",H129&lt;=69,"Developing",H129&lt;=84,"Achieving",H129&lt;=94,"Exceeding",H129&lt;=100,"Outstanding")</f>
        <v>Outstanding</v>
      </c>
      <c r="K129" s="6">
        <f>_xlfn.XLOOKUP(J129,Lookup_Performance!$C$2:$C$6,Lookup_Performance!$D$2:$D$6,"N/A",0)</f>
        <v>0.12</v>
      </c>
      <c r="L129" s="7">
        <f t="shared" si="1"/>
        <v>5566.8</v>
      </c>
      <c r="M129" t="s">
        <v>18</v>
      </c>
      <c r="N129" t="str">
        <f>TRIM(CLEAN(Table1[[#This Row],[Employment Status]]))</f>
        <v>Active</v>
      </c>
    </row>
    <row r="130" spans="1:14" x14ac:dyDescent="0.25">
      <c r="A130" t="s">
        <v>153</v>
      </c>
      <c r="B130" t="s">
        <v>200</v>
      </c>
      <c r="C130" t="s">
        <v>43</v>
      </c>
      <c r="D130" t="str">
        <f>_xlfn.XLOOKUP(C130,Lookup_Departments!$A$2:$A$7,Lookup_Departments!$B$2:$B$7,"Invalid Dept_Code",0)</f>
        <v>Human Resources</v>
      </c>
      <c r="E130" s="25">
        <v>44643</v>
      </c>
      <c r="F130" s="2" t="str">
        <f>TEXT(Table1[[#This Row],[Hire Date  ]],"yyyy")</f>
        <v>2022</v>
      </c>
      <c r="G130" s="8">
        <v>111920</v>
      </c>
      <c r="H130">
        <v>90</v>
      </c>
      <c r="I130" s="4">
        <f ca="1">DATEDIF(E130,TODAY(),"Y")</f>
        <v>4</v>
      </c>
      <c r="J130" s="6" t="str" cm="1">
        <f t="array" ref="J130">_xlfn.IFS(H130&lt;=49,"Needs Improvement",H130&lt;=69,"Developing",H130&lt;=84,"Achieving",H130&lt;=94,"Exceeding",H130&lt;=100,"Outstanding")</f>
        <v>Exceeding</v>
      </c>
      <c r="K130" s="6">
        <f>_xlfn.XLOOKUP(J130,Lookup_Performance!$C$2:$C$6,Lookup_Performance!$D$2:$D$6,"N/A",0)</f>
        <v>0.08</v>
      </c>
      <c r="L130" s="7">
        <f t="shared" si="1"/>
        <v>8953.6</v>
      </c>
      <c r="M130" t="s">
        <v>10</v>
      </c>
      <c r="N130" t="str">
        <f>TRIM(CLEAN(Table1[[#This Row],[Employment Status]]))</f>
        <v>Left</v>
      </c>
    </row>
    <row r="131" spans="1:14" x14ac:dyDescent="0.25">
      <c r="A131" t="s">
        <v>154</v>
      </c>
      <c r="B131" t="s">
        <v>292</v>
      </c>
      <c r="C131" t="s">
        <v>43</v>
      </c>
      <c r="D131" t="str">
        <f>_xlfn.XLOOKUP(C131,Lookup_Departments!$A$2:$A$7,Lookup_Departments!$B$2:$B$7,"Invalid Dept_Code",0)</f>
        <v>Human Resources</v>
      </c>
      <c r="E131" s="25">
        <v>42944</v>
      </c>
      <c r="F131" s="2" t="str">
        <f>TEXT(Table1[[#This Row],[Hire Date  ]],"yyyy")</f>
        <v>2017</v>
      </c>
      <c r="G131" s="8">
        <v>115618</v>
      </c>
      <c r="H131">
        <v>42</v>
      </c>
      <c r="I131" s="4">
        <f ca="1">DATEDIF(E131,TODAY(),"Y")</f>
        <v>8</v>
      </c>
      <c r="J131" s="6" t="str" cm="1">
        <f t="array" ref="J131">_xlfn.IFS(H131&lt;=49,"Needs Improvement",H131&lt;=69,"Developing",H131&lt;=84,"Achieving",H131&lt;=94,"Exceeding",H131&lt;=100,"Outstanding")</f>
        <v>Needs Improvement</v>
      </c>
      <c r="K131" s="6">
        <f>_xlfn.XLOOKUP(J131,Lookup_Performance!$C$2:$C$6,Lookup_Performance!$D$2:$D$6,"N/A",0)</f>
        <v>0</v>
      </c>
      <c r="L131" s="7">
        <f t="shared" ref="L131:L151" si="2">G131*K131</f>
        <v>0</v>
      </c>
      <c r="M131" t="s">
        <v>18</v>
      </c>
      <c r="N131" t="str">
        <f>TRIM(CLEAN(Table1[[#This Row],[Employment Status]]))</f>
        <v>Active</v>
      </c>
    </row>
    <row r="132" spans="1:14" x14ac:dyDescent="0.25">
      <c r="A132" t="s">
        <v>155</v>
      </c>
      <c r="B132" t="s">
        <v>293</v>
      </c>
      <c r="C132" t="s">
        <v>17</v>
      </c>
      <c r="D132" t="str">
        <f>_xlfn.XLOOKUP(C132,Lookup_Departments!$A$2:$A$7,Lookup_Departments!$B$2:$B$7,"Invalid Dept_Code",0)</f>
        <v>Sales</v>
      </c>
      <c r="E132" s="25" t="s">
        <v>156</v>
      </c>
      <c r="F132" s="2" t="str">
        <f>TEXT(Table1[[#This Row],[Hire Date  ]],"yyyy")</f>
        <v>2023</v>
      </c>
      <c r="G132" s="8">
        <v>110618</v>
      </c>
      <c r="H132">
        <v>88</v>
      </c>
      <c r="I132" s="4">
        <f ca="1">DATEDIF(E132,TODAY(),"Y")</f>
        <v>3</v>
      </c>
      <c r="J132" s="6" t="str" cm="1">
        <f t="array" ref="J132">_xlfn.IFS(H132&lt;=49,"Needs Improvement",H132&lt;=69,"Developing",H132&lt;=84,"Achieving",H132&lt;=94,"Exceeding",H132&lt;=100,"Outstanding")</f>
        <v>Exceeding</v>
      </c>
      <c r="K132" s="6">
        <f>_xlfn.XLOOKUP(J132,Lookup_Performance!$C$2:$C$6,Lookup_Performance!$D$2:$D$6,"N/A",0)</f>
        <v>0.08</v>
      </c>
      <c r="L132" s="7">
        <f t="shared" si="2"/>
        <v>8849.44</v>
      </c>
      <c r="M132" t="s">
        <v>55</v>
      </c>
      <c r="N132" t="str">
        <f>TRIM(CLEAN(Table1[[#This Row],[Employment Status]]))</f>
        <v>Resigned</v>
      </c>
    </row>
    <row r="133" spans="1:14" x14ac:dyDescent="0.25">
      <c r="A133" t="s">
        <v>157</v>
      </c>
      <c r="B133" t="s">
        <v>294</v>
      </c>
      <c r="C133" t="s">
        <v>12</v>
      </c>
      <c r="D133" t="str">
        <f>_xlfn.XLOOKUP(C133,Lookup_Departments!$A$2:$A$7,Lookup_Departments!$B$2:$B$7,"Invalid Dept_Code",0)</f>
        <v>Operations</v>
      </c>
      <c r="E133" s="25">
        <v>44639</v>
      </c>
      <c r="F133" s="2" t="str">
        <f>TEXT(Table1[[#This Row],[Hire Date  ]],"yyyy")</f>
        <v>2022</v>
      </c>
      <c r="G133" s="8">
        <v>108395</v>
      </c>
      <c r="H133">
        <v>78</v>
      </c>
      <c r="I133" s="4">
        <f ca="1">DATEDIF(E133,TODAY(),"Y")</f>
        <v>4</v>
      </c>
      <c r="J133" s="6" t="str" cm="1">
        <f t="array" ref="J133">_xlfn.IFS(H133&lt;=49,"Needs Improvement",H133&lt;=69,"Developing",H133&lt;=84,"Achieving",H133&lt;=94,"Exceeding",H133&lt;=100,"Outstanding")</f>
        <v>Achieving</v>
      </c>
      <c r="K133" s="6">
        <f>_xlfn.XLOOKUP(J133,Lookup_Performance!$C$2:$C$6,Lookup_Performance!$D$2:$D$6,"N/A",0)</f>
        <v>0.05</v>
      </c>
      <c r="L133" s="7">
        <f t="shared" si="2"/>
        <v>5419.75</v>
      </c>
      <c r="M133" t="s">
        <v>10</v>
      </c>
      <c r="N133" t="str">
        <f>TRIM(CLEAN(Table1[[#This Row],[Employment Status]]))</f>
        <v>Left</v>
      </c>
    </row>
    <row r="134" spans="1:14" x14ac:dyDescent="0.25">
      <c r="A134" t="s">
        <v>158</v>
      </c>
      <c r="B134" t="s">
        <v>239</v>
      </c>
      <c r="C134" t="s">
        <v>8</v>
      </c>
      <c r="D134" t="str">
        <f>_xlfn.XLOOKUP(C134,Lookup_Departments!$A$2:$A$7,Lookup_Departments!$B$2:$B$7,"Invalid Dept_Code",0)</f>
        <v>Finance</v>
      </c>
      <c r="E134" s="25">
        <v>43091</v>
      </c>
      <c r="F134" s="2" t="str">
        <f>TEXT(Table1[[#This Row],[Hire Date  ]],"yyyy")</f>
        <v>2017</v>
      </c>
      <c r="G134" s="8">
        <v>88005</v>
      </c>
      <c r="H134">
        <v>69</v>
      </c>
      <c r="I134" s="4">
        <f ca="1">DATEDIF(E134,TODAY(),"Y")</f>
        <v>8</v>
      </c>
      <c r="J134" s="6" t="str" cm="1">
        <f t="array" ref="J134">_xlfn.IFS(H134&lt;=49,"Needs Improvement",H134&lt;=69,"Developing",H134&lt;=84,"Achieving",H134&lt;=94,"Exceeding",H134&lt;=100,"Outstanding")</f>
        <v>Developing</v>
      </c>
      <c r="K134" s="6">
        <f>_xlfn.XLOOKUP(J134,Lookup_Performance!$C$2:$C$6,Lookup_Performance!$D$2:$D$6,"N/A",0)</f>
        <v>0.02</v>
      </c>
      <c r="L134" s="7">
        <f t="shared" si="2"/>
        <v>1760.1000000000001</v>
      </c>
      <c r="M134" t="s">
        <v>18</v>
      </c>
      <c r="N134" t="str">
        <f>TRIM(CLEAN(Table1[[#This Row],[Employment Status]]))</f>
        <v>Active</v>
      </c>
    </row>
    <row r="135" spans="1:14" x14ac:dyDescent="0.25">
      <c r="A135" t="s">
        <v>159</v>
      </c>
      <c r="B135" t="s">
        <v>295</v>
      </c>
      <c r="C135" t="s">
        <v>5</v>
      </c>
      <c r="D135" t="str">
        <f>_xlfn.XLOOKUP(C135,Lookup_Departments!$A$2:$A$7,Lookup_Departments!$B$2:$B$7,"Invalid Dept_Code",0)</f>
        <v>Marketing</v>
      </c>
      <c r="E135" s="25" t="s">
        <v>160</v>
      </c>
      <c r="F135" s="2" t="str">
        <f>TEXT(Table1[[#This Row],[Hire Date  ]],"yyyy")</f>
        <v>2021</v>
      </c>
      <c r="G135" s="8">
        <v>83007</v>
      </c>
      <c r="H135">
        <v>82</v>
      </c>
      <c r="I135" s="4">
        <f ca="1">DATEDIF(E135,TODAY(),"Y")</f>
        <v>4</v>
      </c>
      <c r="J135" s="6" t="str" cm="1">
        <f t="array" ref="J135">_xlfn.IFS(H135&lt;=49,"Needs Improvement",H135&lt;=69,"Developing",H135&lt;=84,"Achieving",H135&lt;=94,"Exceeding",H135&lt;=100,"Outstanding")</f>
        <v>Achieving</v>
      </c>
      <c r="K135" s="6">
        <f>_xlfn.XLOOKUP(J135,Lookup_Performance!$C$2:$C$6,Lookup_Performance!$D$2:$D$6,"N/A",0)</f>
        <v>0.05</v>
      </c>
      <c r="L135" s="7">
        <f t="shared" si="2"/>
        <v>4150.3500000000004</v>
      </c>
      <c r="M135" t="s">
        <v>18</v>
      </c>
      <c r="N135" t="str">
        <f>TRIM(CLEAN(Table1[[#This Row],[Employment Status]]))</f>
        <v>Active</v>
      </c>
    </row>
    <row r="136" spans="1:14" x14ac:dyDescent="0.25">
      <c r="A136" t="s">
        <v>161</v>
      </c>
      <c r="B136" t="s">
        <v>296</v>
      </c>
      <c r="C136" t="s">
        <v>3</v>
      </c>
      <c r="D136" t="str">
        <f>_xlfn.XLOOKUP(C136,Lookup_Departments!$A$2:$A$7,Lookup_Departments!$B$2:$B$7,"Invalid Dept_Code",0)</f>
        <v>Information Technology</v>
      </c>
      <c r="E136" s="25">
        <v>43360</v>
      </c>
      <c r="F136" s="2" t="str">
        <f>TEXT(Table1[[#This Row],[Hire Date  ]],"yyyy")</f>
        <v>2018</v>
      </c>
      <c r="G136" s="8">
        <v>61547</v>
      </c>
      <c r="H136">
        <v>68</v>
      </c>
      <c r="I136" s="4">
        <f ca="1">DATEDIF(E136,TODAY(),"Y")</f>
        <v>7</v>
      </c>
      <c r="J136" s="6" t="str" cm="1">
        <f t="array" ref="J136">_xlfn.IFS(H136&lt;=49,"Needs Improvement",H136&lt;=69,"Developing",H136&lt;=84,"Achieving",H136&lt;=94,"Exceeding",H136&lt;=100,"Outstanding")</f>
        <v>Developing</v>
      </c>
      <c r="K136" s="6">
        <f>_xlfn.XLOOKUP(J136,Lookup_Performance!$C$2:$C$6,Lookup_Performance!$D$2:$D$6,"N/A",0)</f>
        <v>0.02</v>
      </c>
      <c r="L136" s="7">
        <f t="shared" si="2"/>
        <v>1230.94</v>
      </c>
      <c r="M136" t="s">
        <v>18</v>
      </c>
      <c r="N136" t="str">
        <f>TRIM(CLEAN(Table1[[#This Row],[Employment Status]]))</f>
        <v>Active</v>
      </c>
    </row>
    <row r="137" spans="1:14" x14ac:dyDescent="0.25">
      <c r="A137" t="s">
        <v>162</v>
      </c>
      <c r="B137" t="s">
        <v>297</v>
      </c>
      <c r="C137" t="s">
        <v>17</v>
      </c>
      <c r="D137" t="str">
        <f>_xlfn.XLOOKUP(C137,Lookup_Departments!$A$2:$A$7,Lookup_Departments!$B$2:$B$7,"Invalid Dept_Code",0)</f>
        <v>Sales</v>
      </c>
      <c r="E137" s="25">
        <v>44375</v>
      </c>
      <c r="F137" s="2" t="str">
        <f>TEXT(Table1[[#This Row],[Hire Date  ]],"yyyy")</f>
        <v>2021</v>
      </c>
      <c r="G137" s="8">
        <v>80907</v>
      </c>
      <c r="H137">
        <v>52</v>
      </c>
      <c r="I137" s="4">
        <f ca="1">DATEDIF(E137,TODAY(),"Y")</f>
        <v>5</v>
      </c>
      <c r="J137" s="6" t="str" cm="1">
        <f t="array" ref="J137">_xlfn.IFS(H137&lt;=49,"Needs Improvement",H137&lt;=69,"Developing",H137&lt;=84,"Achieving",H137&lt;=94,"Exceeding",H137&lt;=100,"Outstanding")</f>
        <v>Developing</v>
      </c>
      <c r="K137" s="6">
        <f>_xlfn.XLOOKUP(J137,Lookup_Performance!$C$2:$C$6,Lookup_Performance!$D$2:$D$6,"N/A",0)</f>
        <v>0.02</v>
      </c>
      <c r="L137" s="7">
        <f t="shared" si="2"/>
        <v>1618.14</v>
      </c>
      <c r="M137" t="s">
        <v>18</v>
      </c>
      <c r="N137" t="str">
        <f>TRIM(CLEAN(Table1[[#This Row],[Employment Status]]))</f>
        <v>Active</v>
      </c>
    </row>
    <row r="138" spans="1:14" x14ac:dyDescent="0.25">
      <c r="A138" t="s">
        <v>163</v>
      </c>
      <c r="B138" t="s">
        <v>298</v>
      </c>
      <c r="C138" t="s">
        <v>12</v>
      </c>
      <c r="D138" t="str">
        <f>_xlfn.XLOOKUP(C138,Lookup_Departments!$A$2:$A$7,Lookup_Departments!$B$2:$B$7,"Invalid Dept_Code",0)</f>
        <v>Operations</v>
      </c>
      <c r="E138" s="25">
        <v>43011</v>
      </c>
      <c r="F138" s="2" t="str">
        <f>TEXT(Table1[[#This Row],[Hire Date  ]],"yyyy")</f>
        <v>2017</v>
      </c>
      <c r="G138" s="8">
        <v>50399</v>
      </c>
      <c r="H138">
        <v>92</v>
      </c>
      <c r="I138" s="4">
        <f ca="1">DATEDIF(E138,TODAY(),"Y")</f>
        <v>8</v>
      </c>
      <c r="J138" s="6" t="str" cm="1">
        <f t="array" ref="J138">_xlfn.IFS(H138&lt;=49,"Needs Improvement",H138&lt;=69,"Developing",H138&lt;=84,"Achieving",H138&lt;=94,"Exceeding",H138&lt;=100,"Outstanding")</f>
        <v>Exceeding</v>
      </c>
      <c r="K138" s="6">
        <f>_xlfn.XLOOKUP(J138,Lookup_Performance!$C$2:$C$6,Lookup_Performance!$D$2:$D$6,"N/A",0)</f>
        <v>0.08</v>
      </c>
      <c r="L138" s="7">
        <f t="shared" si="2"/>
        <v>4031.92</v>
      </c>
      <c r="M138" t="s">
        <v>10</v>
      </c>
      <c r="N138" t="str">
        <f>TRIM(CLEAN(Table1[[#This Row],[Employment Status]]))</f>
        <v>Left</v>
      </c>
    </row>
    <row r="139" spans="1:14" x14ac:dyDescent="0.25">
      <c r="A139" t="s">
        <v>164</v>
      </c>
      <c r="B139" t="s">
        <v>299</v>
      </c>
      <c r="C139" t="s">
        <v>8</v>
      </c>
      <c r="D139" t="str">
        <f>_xlfn.XLOOKUP(C139,Lookup_Departments!$A$2:$A$7,Lookup_Departments!$B$2:$B$7,"Invalid Dept_Code",0)</f>
        <v>Finance</v>
      </c>
      <c r="E139" s="25" t="s">
        <v>165</v>
      </c>
      <c r="F139" s="2" t="str">
        <f>TEXT(Table1[[#This Row],[Hire Date  ]],"yyyy")</f>
        <v>2015</v>
      </c>
      <c r="G139" s="8">
        <v>95315</v>
      </c>
      <c r="H139">
        <v>62</v>
      </c>
      <c r="I139" s="4">
        <f ca="1">DATEDIF(E139,TODAY(),"Y")</f>
        <v>10</v>
      </c>
      <c r="J139" s="6" t="str" cm="1">
        <f t="array" ref="J139">_xlfn.IFS(H139&lt;=49,"Needs Improvement",H139&lt;=69,"Developing",H139&lt;=84,"Achieving",H139&lt;=94,"Exceeding",H139&lt;=100,"Outstanding")</f>
        <v>Developing</v>
      </c>
      <c r="K139" s="6">
        <f>_xlfn.XLOOKUP(J139,Lookup_Performance!$C$2:$C$6,Lookup_Performance!$D$2:$D$6,"N/A",0)</f>
        <v>0.02</v>
      </c>
      <c r="L139" s="7">
        <f t="shared" si="2"/>
        <v>1906.3</v>
      </c>
      <c r="M139" t="s">
        <v>18</v>
      </c>
      <c r="N139" t="str">
        <f>TRIM(CLEAN(Table1[[#This Row],[Employment Status]]))</f>
        <v>Active</v>
      </c>
    </row>
    <row r="140" spans="1:14" x14ac:dyDescent="0.25">
      <c r="A140" t="s">
        <v>166</v>
      </c>
      <c r="B140" t="s">
        <v>300</v>
      </c>
      <c r="C140" t="s">
        <v>12</v>
      </c>
      <c r="D140" t="str">
        <f>_xlfn.XLOOKUP(C140,Lookup_Departments!$A$2:$A$7,Lookup_Departments!$B$2:$B$7,"Invalid Dept_Code",0)</f>
        <v>Operations</v>
      </c>
      <c r="E140" s="25">
        <v>43257</v>
      </c>
      <c r="F140" s="2" t="str">
        <f>TEXT(Table1[[#This Row],[Hire Date  ]],"yyyy")</f>
        <v>2018</v>
      </c>
      <c r="G140" s="8">
        <v>52720</v>
      </c>
      <c r="H140">
        <v>68</v>
      </c>
      <c r="I140" s="4">
        <f ca="1">DATEDIF(E140,TODAY(),"Y")</f>
        <v>8</v>
      </c>
      <c r="J140" s="6" t="str" cm="1">
        <f t="array" ref="J140">_xlfn.IFS(H140&lt;=49,"Needs Improvement",H140&lt;=69,"Developing",H140&lt;=84,"Achieving",H140&lt;=94,"Exceeding",H140&lt;=100,"Outstanding")</f>
        <v>Developing</v>
      </c>
      <c r="K140" s="6">
        <f>_xlfn.XLOOKUP(J140,Lookup_Performance!$C$2:$C$6,Lookup_Performance!$D$2:$D$6,"N/A",0)</f>
        <v>0.02</v>
      </c>
      <c r="L140" s="7">
        <f t="shared" si="2"/>
        <v>1054.4000000000001</v>
      </c>
      <c r="M140" t="s">
        <v>18</v>
      </c>
      <c r="N140" t="str">
        <f>TRIM(CLEAN(Table1[[#This Row],[Employment Status]]))</f>
        <v>Active</v>
      </c>
    </row>
    <row r="141" spans="1:14" x14ac:dyDescent="0.25">
      <c r="A141" t="s">
        <v>167</v>
      </c>
      <c r="B141" t="s">
        <v>301</v>
      </c>
      <c r="C141" t="s">
        <v>12</v>
      </c>
      <c r="D141" t="str">
        <f>_xlfn.XLOOKUP(C141,Lookup_Departments!$A$2:$A$7,Lookup_Departments!$B$2:$B$7,"Invalid Dept_Code",0)</f>
        <v>Operations</v>
      </c>
      <c r="E141" s="25">
        <v>42932</v>
      </c>
      <c r="F141" s="2" t="str">
        <f>TEXT(Table1[[#This Row],[Hire Date  ]],"yyyy")</f>
        <v>2017</v>
      </c>
      <c r="G141" s="8">
        <v>65065</v>
      </c>
      <c r="H141">
        <v>98</v>
      </c>
      <c r="I141" s="4">
        <f ca="1">DATEDIF(E141,TODAY(),"Y")</f>
        <v>8</v>
      </c>
      <c r="J141" s="6" t="str" cm="1">
        <f t="array" ref="J141">_xlfn.IFS(H141&lt;=49,"Needs Improvement",H141&lt;=69,"Developing",H141&lt;=84,"Achieving",H141&lt;=94,"Exceeding",H141&lt;=100,"Outstanding")</f>
        <v>Outstanding</v>
      </c>
      <c r="K141" s="6">
        <f>_xlfn.XLOOKUP(J141,Lookup_Performance!$C$2:$C$6,Lookup_Performance!$D$2:$D$6,"N/A",0)</f>
        <v>0.12</v>
      </c>
      <c r="L141" s="7">
        <f t="shared" si="2"/>
        <v>7807.7999999999993</v>
      </c>
      <c r="M141" t="s">
        <v>18</v>
      </c>
      <c r="N141" t="str">
        <f>TRIM(CLEAN(Table1[[#This Row],[Employment Status]]))</f>
        <v>Active</v>
      </c>
    </row>
    <row r="142" spans="1:14" x14ac:dyDescent="0.25">
      <c r="A142" t="s">
        <v>168</v>
      </c>
      <c r="B142" t="s">
        <v>294</v>
      </c>
      <c r="C142" t="s">
        <v>17</v>
      </c>
      <c r="D142" t="str">
        <f>_xlfn.XLOOKUP(C142,Lookup_Departments!$A$2:$A$7,Lookup_Departments!$B$2:$B$7,"Invalid Dept_Code",0)</f>
        <v>Sales</v>
      </c>
      <c r="E142" s="25">
        <v>42175</v>
      </c>
      <c r="F142" s="2" t="str">
        <f>TEXT(Table1[[#This Row],[Hire Date  ]],"yyyy")</f>
        <v>2015</v>
      </c>
      <c r="G142" s="8">
        <v>80907</v>
      </c>
      <c r="H142">
        <v>94</v>
      </c>
      <c r="I142" s="4">
        <f ca="1">DATEDIF(E142,TODAY(),"Y")</f>
        <v>11</v>
      </c>
      <c r="J142" s="6" t="str" cm="1">
        <f t="array" ref="J142">_xlfn.IFS(H142&lt;=49,"Needs Improvement",H142&lt;=69,"Developing",H142&lt;=84,"Achieving",H142&lt;=94,"Exceeding",H142&lt;=100,"Outstanding")</f>
        <v>Exceeding</v>
      </c>
      <c r="K142" s="6">
        <f>_xlfn.XLOOKUP(J142,Lookup_Performance!$C$2:$C$6,Lookup_Performance!$D$2:$D$6,"N/A",0)</f>
        <v>0.08</v>
      </c>
      <c r="L142" s="7">
        <f t="shared" si="2"/>
        <v>6472.56</v>
      </c>
      <c r="M142" t="s">
        <v>55</v>
      </c>
      <c r="N142" t="str">
        <f>TRIM(CLEAN(Table1[[#This Row],[Employment Status]]))</f>
        <v>Resigned</v>
      </c>
    </row>
    <row r="143" spans="1:14" x14ac:dyDescent="0.25">
      <c r="A143" t="s">
        <v>169</v>
      </c>
      <c r="B143" t="s">
        <v>294</v>
      </c>
      <c r="C143" t="s">
        <v>12</v>
      </c>
      <c r="D143" t="str">
        <f>_xlfn.XLOOKUP(C143,Lookup_Departments!$A$2:$A$7,Lookup_Departments!$B$2:$B$7,"Invalid Dept_Code",0)</f>
        <v>Operations</v>
      </c>
      <c r="E143" s="25">
        <v>43609</v>
      </c>
      <c r="F143" s="2" t="str">
        <f>TEXT(Table1[[#This Row],[Hire Date  ]],"yyyy")</f>
        <v>2019</v>
      </c>
      <c r="G143" s="8">
        <v>108119</v>
      </c>
      <c r="H143">
        <v>57</v>
      </c>
      <c r="I143" s="4">
        <f ca="1">DATEDIF(E143,TODAY(),"Y")</f>
        <v>7</v>
      </c>
      <c r="J143" s="6" t="str" cm="1">
        <f t="array" ref="J143">_xlfn.IFS(H143&lt;=49,"Needs Improvement",H143&lt;=69,"Developing",H143&lt;=84,"Achieving",H143&lt;=94,"Exceeding",H143&lt;=100,"Outstanding")</f>
        <v>Developing</v>
      </c>
      <c r="K143" s="6">
        <f>_xlfn.XLOOKUP(J143,Lookup_Performance!$C$2:$C$6,Lookup_Performance!$D$2:$D$6,"N/A",0)</f>
        <v>0.02</v>
      </c>
      <c r="L143" s="7">
        <f t="shared" si="2"/>
        <v>2162.38</v>
      </c>
      <c r="M143" t="s">
        <v>55</v>
      </c>
      <c r="N143" t="str">
        <f>TRIM(CLEAN(Table1[[#This Row],[Employment Status]]))</f>
        <v>Resigned</v>
      </c>
    </row>
    <row r="144" spans="1:14" x14ac:dyDescent="0.25">
      <c r="A144" t="s">
        <v>170</v>
      </c>
      <c r="B144" t="s">
        <v>241</v>
      </c>
      <c r="C144" t="s">
        <v>3</v>
      </c>
      <c r="D144" t="str">
        <f>_xlfn.XLOOKUP(C144,Lookup_Departments!$A$2:$A$7,Lookup_Departments!$B$2:$B$7,"Invalid Dept_Code",0)</f>
        <v>Information Technology</v>
      </c>
      <c r="E144" s="25">
        <v>43887</v>
      </c>
      <c r="F144" s="2" t="str">
        <f>TEXT(Table1[[#This Row],[Hire Date  ]],"yyyy")</f>
        <v>2020</v>
      </c>
      <c r="G144" s="8">
        <v>74560</v>
      </c>
      <c r="H144">
        <v>96</v>
      </c>
      <c r="I144" s="4">
        <f ca="1">DATEDIF(E144,TODAY(),"Y")</f>
        <v>6</v>
      </c>
      <c r="J144" s="6" t="str" cm="1">
        <f t="array" ref="J144">_xlfn.IFS(H144&lt;=49,"Needs Improvement",H144&lt;=69,"Developing",H144&lt;=84,"Achieving",H144&lt;=94,"Exceeding",H144&lt;=100,"Outstanding")</f>
        <v>Outstanding</v>
      </c>
      <c r="K144" s="6">
        <f>_xlfn.XLOOKUP(J144,Lookup_Performance!$C$2:$C$6,Lookup_Performance!$D$2:$D$6,"N/A",0)</f>
        <v>0.12</v>
      </c>
      <c r="L144" s="7">
        <f t="shared" si="2"/>
        <v>8947.1999999999989</v>
      </c>
      <c r="M144" t="s">
        <v>18</v>
      </c>
      <c r="N144" t="str">
        <f>TRIM(CLEAN(Table1[[#This Row],[Employment Status]]))</f>
        <v>Active</v>
      </c>
    </row>
    <row r="145" spans="1:14" x14ac:dyDescent="0.25">
      <c r="A145" t="s">
        <v>171</v>
      </c>
      <c r="B145" t="s">
        <v>244</v>
      </c>
      <c r="C145" t="s">
        <v>43</v>
      </c>
      <c r="D145" t="str">
        <f>_xlfn.XLOOKUP(C145,Lookup_Departments!$A$2:$A$7,Lookup_Departments!$B$2:$B$7,"Invalid Dept_Code",0)</f>
        <v>Human Resources</v>
      </c>
      <c r="E145" s="25">
        <v>44991</v>
      </c>
      <c r="F145" s="2" t="str">
        <f>TEXT(Table1[[#This Row],[Hire Date  ]],"yyyy")</f>
        <v>2023</v>
      </c>
      <c r="G145" s="8">
        <v>106896</v>
      </c>
      <c r="H145">
        <v>52</v>
      </c>
      <c r="I145" s="4">
        <f ca="1">DATEDIF(E145,TODAY(),"Y")</f>
        <v>3</v>
      </c>
      <c r="J145" s="6" t="str" cm="1">
        <f t="array" ref="J145">_xlfn.IFS(H145&lt;=49,"Needs Improvement",H145&lt;=69,"Developing",H145&lt;=84,"Achieving",H145&lt;=94,"Exceeding",H145&lt;=100,"Outstanding")</f>
        <v>Developing</v>
      </c>
      <c r="K145" s="6">
        <f>_xlfn.XLOOKUP(J145,Lookup_Performance!$C$2:$C$6,Lookup_Performance!$D$2:$D$6,"N/A",0)</f>
        <v>0.02</v>
      </c>
      <c r="L145" s="7">
        <f t="shared" si="2"/>
        <v>2137.92</v>
      </c>
      <c r="M145" t="s">
        <v>10</v>
      </c>
      <c r="N145" t="str">
        <f>TRIM(CLEAN(Table1[[#This Row],[Employment Status]]))</f>
        <v>Left</v>
      </c>
    </row>
    <row r="146" spans="1:14" x14ac:dyDescent="0.25">
      <c r="A146" t="s">
        <v>172</v>
      </c>
      <c r="B146" t="s">
        <v>302</v>
      </c>
      <c r="C146" t="s">
        <v>3</v>
      </c>
      <c r="D146" t="str">
        <f>_xlfn.XLOOKUP(C146,Lookup_Departments!$A$2:$A$7,Lookup_Departments!$B$2:$B$7,"Invalid Dept_Code",0)</f>
        <v>Information Technology</v>
      </c>
      <c r="E146" s="25" t="s">
        <v>173</v>
      </c>
      <c r="F146" s="2" t="str">
        <f>TEXT(Table1[[#This Row],[Hire Date  ]],"yyyy")</f>
        <v>2019</v>
      </c>
      <c r="G146" s="8">
        <v>112887</v>
      </c>
      <c r="H146">
        <v>59</v>
      </c>
      <c r="I146" s="4">
        <f ca="1">DATEDIF(E146,TODAY(),"Y")</f>
        <v>7</v>
      </c>
      <c r="J146" s="6" t="str" cm="1">
        <f t="array" ref="J146">_xlfn.IFS(H146&lt;=49,"Needs Improvement",H146&lt;=69,"Developing",H146&lt;=84,"Achieving",H146&lt;=94,"Exceeding",H146&lt;=100,"Outstanding")</f>
        <v>Developing</v>
      </c>
      <c r="K146" s="6">
        <f>_xlfn.XLOOKUP(J146,Lookup_Performance!$C$2:$C$6,Lookup_Performance!$D$2:$D$6,"N/A",0)</f>
        <v>0.02</v>
      </c>
      <c r="L146" s="7">
        <f t="shared" si="2"/>
        <v>2257.7400000000002</v>
      </c>
      <c r="M146" t="s">
        <v>18</v>
      </c>
      <c r="N146" t="str">
        <f>TRIM(CLEAN(Table1[[#This Row],[Employment Status]]))</f>
        <v>Active</v>
      </c>
    </row>
    <row r="147" spans="1:14" x14ac:dyDescent="0.25">
      <c r="A147" t="s">
        <v>174</v>
      </c>
      <c r="B147" t="s">
        <v>303</v>
      </c>
      <c r="C147" t="s">
        <v>8</v>
      </c>
      <c r="D147" t="str">
        <f>_xlfn.XLOOKUP(C147,Lookup_Departments!$A$2:$A$7,Lookup_Departments!$B$2:$B$7,"Invalid Dept_Code",0)</f>
        <v>Finance</v>
      </c>
      <c r="E147" s="25">
        <v>45037</v>
      </c>
      <c r="F147" s="2" t="str">
        <f>TEXT(Table1[[#This Row],[Hire Date  ]],"yyyy")</f>
        <v>2023</v>
      </c>
      <c r="G147" s="8">
        <v>85457</v>
      </c>
      <c r="H147">
        <v>79</v>
      </c>
      <c r="I147" s="4">
        <f ca="1">DATEDIF(E147,TODAY(),"Y")</f>
        <v>3</v>
      </c>
      <c r="J147" s="6" t="str" cm="1">
        <f t="array" ref="J147">_xlfn.IFS(H147&lt;=49,"Needs Improvement",H147&lt;=69,"Developing",H147&lt;=84,"Achieving",H147&lt;=94,"Exceeding",H147&lt;=100,"Outstanding")</f>
        <v>Achieving</v>
      </c>
      <c r="K147" s="6">
        <f>_xlfn.XLOOKUP(J147,Lookup_Performance!$C$2:$C$6,Lookup_Performance!$D$2:$D$6,"N/A",0)</f>
        <v>0.05</v>
      </c>
      <c r="L147" s="7">
        <f t="shared" si="2"/>
        <v>4272.8500000000004</v>
      </c>
      <c r="M147" t="s">
        <v>18</v>
      </c>
      <c r="N147" t="str">
        <f>TRIM(CLEAN(Table1[[#This Row],[Employment Status]]))</f>
        <v>Active</v>
      </c>
    </row>
    <row r="148" spans="1:14" x14ac:dyDescent="0.25">
      <c r="A148" t="s">
        <v>175</v>
      </c>
      <c r="B148" t="s">
        <v>304</v>
      </c>
      <c r="C148" t="s">
        <v>17</v>
      </c>
      <c r="D148" t="str">
        <f>_xlfn.XLOOKUP(C148,Lookup_Departments!$A$2:$A$7,Lookup_Departments!$B$2:$B$7,"Invalid Dept_Code",0)</f>
        <v>Sales</v>
      </c>
      <c r="E148" s="25">
        <v>42519</v>
      </c>
      <c r="F148" s="2" t="str">
        <f>TEXT(Table1[[#This Row],[Hire Date  ]],"yyyy")</f>
        <v>2016</v>
      </c>
      <c r="G148" s="8">
        <v>62798</v>
      </c>
      <c r="H148">
        <v>30</v>
      </c>
      <c r="I148" s="4">
        <f ca="1">DATEDIF(E148,TODAY(),"Y")</f>
        <v>10</v>
      </c>
      <c r="J148" s="6" t="str" cm="1">
        <f t="array" ref="J148">_xlfn.IFS(H148&lt;=49,"Needs Improvement",H148&lt;=69,"Developing",H148&lt;=84,"Achieving",H148&lt;=94,"Exceeding",H148&lt;=100,"Outstanding")</f>
        <v>Needs Improvement</v>
      </c>
      <c r="K148" s="6">
        <f>_xlfn.XLOOKUP(J148,Lookup_Performance!$C$2:$C$6,Lookup_Performance!$D$2:$D$6,"N/A",0)</f>
        <v>0</v>
      </c>
      <c r="L148" s="7">
        <f t="shared" si="2"/>
        <v>0</v>
      </c>
      <c r="M148" t="s">
        <v>18</v>
      </c>
      <c r="N148" t="str">
        <f>TRIM(CLEAN(Table1[[#This Row],[Employment Status]]))</f>
        <v>Active</v>
      </c>
    </row>
    <row r="149" spans="1:14" x14ac:dyDescent="0.25">
      <c r="A149" t="s">
        <v>176</v>
      </c>
      <c r="B149" t="s">
        <v>305</v>
      </c>
      <c r="C149" t="s">
        <v>12</v>
      </c>
      <c r="D149" t="str">
        <f>_xlfn.XLOOKUP(C149,Lookup_Departments!$A$2:$A$7,Lookup_Departments!$B$2:$B$7,"Invalid Dept_Code",0)</f>
        <v>Operations</v>
      </c>
      <c r="E149" s="25">
        <v>44711</v>
      </c>
      <c r="F149" s="2" t="str">
        <f>TEXT(Table1[[#This Row],[Hire Date  ]],"yyyy")</f>
        <v>2022</v>
      </c>
      <c r="G149" s="8">
        <v>47794</v>
      </c>
      <c r="H149">
        <v>73</v>
      </c>
      <c r="I149" s="4">
        <f ca="1">DATEDIF(E149,TODAY(),"Y")</f>
        <v>4</v>
      </c>
      <c r="J149" s="6" t="str" cm="1">
        <f t="array" ref="J149">_xlfn.IFS(H149&lt;=49,"Needs Improvement",H149&lt;=69,"Developing",H149&lt;=84,"Achieving",H149&lt;=94,"Exceeding",H149&lt;=100,"Outstanding")</f>
        <v>Achieving</v>
      </c>
      <c r="K149" s="6">
        <f>_xlfn.XLOOKUP(J149,Lookup_Performance!$C$2:$C$6,Lookup_Performance!$D$2:$D$6,"N/A",0)</f>
        <v>0.05</v>
      </c>
      <c r="L149" s="7">
        <f t="shared" si="2"/>
        <v>2389.7000000000003</v>
      </c>
      <c r="M149" t="s">
        <v>10</v>
      </c>
      <c r="N149" t="str">
        <f>TRIM(CLEAN(Table1[[#This Row],[Employment Status]]))</f>
        <v>Left</v>
      </c>
    </row>
    <row r="150" spans="1:14" x14ac:dyDescent="0.25">
      <c r="A150" t="s">
        <v>177</v>
      </c>
      <c r="B150" t="s">
        <v>286</v>
      </c>
      <c r="C150" t="s">
        <v>5</v>
      </c>
      <c r="D150" t="str">
        <f>_xlfn.XLOOKUP(C150,Lookup_Departments!$A$2:$A$7,Lookup_Departments!$B$2:$B$7,"Invalid Dept_Code",0)</f>
        <v>Marketing</v>
      </c>
      <c r="E150" s="25">
        <v>42677</v>
      </c>
      <c r="F150" s="2" t="str">
        <f>TEXT(Table1[[#This Row],[Hire Date  ]],"yyyy")</f>
        <v>2016</v>
      </c>
      <c r="G150" s="8">
        <v>93094</v>
      </c>
      <c r="H150">
        <v>74</v>
      </c>
      <c r="I150" s="4">
        <f ca="1">DATEDIF(E150,TODAY(),"Y")</f>
        <v>9</v>
      </c>
      <c r="J150" s="6" t="str" cm="1">
        <f t="array" ref="J150">_xlfn.IFS(H150&lt;=49,"Needs Improvement",H150&lt;=69,"Developing",H150&lt;=84,"Achieving",H150&lt;=94,"Exceeding",H150&lt;=100,"Outstanding")</f>
        <v>Achieving</v>
      </c>
      <c r="K150" s="6">
        <f>_xlfn.XLOOKUP(J150,Lookup_Performance!$C$2:$C$6,Lookup_Performance!$D$2:$D$6,"N/A",0)</f>
        <v>0.05</v>
      </c>
      <c r="L150" s="7">
        <f t="shared" si="2"/>
        <v>4654.7</v>
      </c>
      <c r="M150" t="s">
        <v>18</v>
      </c>
      <c r="N150" t="str">
        <f>TRIM(CLEAN(Table1[[#This Row],[Employment Status]]))</f>
        <v>Active</v>
      </c>
    </row>
    <row r="151" spans="1:14" x14ac:dyDescent="0.25">
      <c r="A151" t="s">
        <v>178</v>
      </c>
      <c r="B151" t="s">
        <v>283</v>
      </c>
      <c r="C151" t="s">
        <v>3</v>
      </c>
      <c r="D151" t="str">
        <f>_xlfn.XLOOKUP(C151,Lookup_Departments!$A$2:$A$7,Lookup_Departments!$B$2:$B$7,"Invalid Dept_Code",0)</f>
        <v>Information Technology</v>
      </c>
      <c r="E151" s="25">
        <v>44848</v>
      </c>
      <c r="F151" s="2" t="str">
        <f>TEXT(Table1[[#This Row],[Hire Date  ]],"yyyy")</f>
        <v>2022</v>
      </c>
      <c r="G151" s="8">
        <v>118634</v>
      </c>
      <c r="H151">
        <v>91</v>
      </c>
      <c r="I151" s="4">
        <f ca="1">DATEDIF(E151,TODAY(),"Y")</f>
        <v>3</v>
      </c>
      <c r="J151" s="6" t="str" cm="1">
        <f t="array" ref="J151">_xlfn.IFS(H151&lt;=49,"Needs Improvement",H151&lt;=69,"Developing",H151&lt;=84,"Achieving",H151&lt;=94,"Exceeding",H151&lt;=100,"Outstanding")</f>
        <v>Exceeding</v>
      </c>
      <c r="K151" s="6">
        <f>_xlfn.XLOOKUP(J151,Lookup_Performance!$C$2:$C$6,Lookup_Performance!$D$2:$D$6,"N/A",0)</f>
        <v>0.08</v>
      </c>
      <c r="L151" s="7">
        <f t="shared" si="2"/>
        <v>9490.7199999999993</v>
      </c>
      <c r="M151" t="s">
        <v>18</v>
      </c>
      <c r="N151" t="str">
        <f>TRIM(CLEAN(Table1[[#This Row],[Employment Status]]))</f>
        <v>Active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D62" sqref="D62"/>
    </sheetView>
  </sheetViews>
  <sheetFormatPr defaultRowHeight="15" x14ac:dyDescent="0.25"/>
  <cols>
    <col min="1" max="1" width="10.85546875" bestFit="1" customWidth="1"/>
    <col min="2" max="2" width="22.5703125" bestFit="1" customWidth="1"/>
  </cols>
  <sheetData>
    <row r="1" spans="1:2" x14ac:dyDescent="0.25">
      <c r="A1" s="1" t="s">
        <v>179</v>
      </c>
      <c r="B1" s="1" t="s">
        <v>180</v>
      </c>
    </row>
    <row r="2" spans="1:2" x14ac:dyDescent="0.25">
      <c r="A2" t="s">
        <v>43</v>
      </c>
      <c r="B2" t="s">
        <v>181</v>
      </c>
    </row>
    <row r="3" spans="1:2" x14ac:dyDescent="0.25">
      <c r="A3" t="s">
        <v>3</v>
      </c>
      <c r="B3" t="s">
        <v>182</v>
      </c>
    </row>
    <row r="4" spans="1:2" x14ac:dyDescent="0.25">
      <c r="A4" t="s">
        <v>8</v>
      </c>
      <c r="B4" t="s">
        <v>183</v>
      </c>
    </row>
    <row r="5" spans="1:2" x14ac:dyDescent="0.25">
      <c r="A5" t="s">
        <v>5</v>
      </c>
      <c r="B5" t="s">
        <v>184</v>
      </c>
    </row>
    <row r="6" spans="1:2" x14ac:dyDescent="0.25">
      <c r="A6" t="s">
        <v>17</v>
      </c>
      <c r="B6" t="s">
        <v>185</v>
      </c>
    </row>
    <row r="7" spans="1:2" x14ac:dyDescent="0.25">
      <c r="A7" t="s">
        <v>12</v>
      </c>
      <c r="B7" t="s">
        <v>186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>
      <selection activeCell="D62" sqref="D62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9.5703125" bestFit="1" customWidth="1"/>
    <col min="4" max="4" width="17.7109375" bestFit="1" customWidth="1"/>
  </cols>
  <sheetData>
    <row r="1" spans="1:4" x14ac:dyDescent="0.25">
      <c r="A1" s="1" t="s">
        <v>187</v>
      </c>
      <c r="B1" s="1" t="s">
        <v>188</v>
      </c>
      <c r="C1" s="1" t="s">
        <v>189</v>
      </c>
      <c r="D1" s="1" t="s">
        <v>190</v>
      </c>
    </row>
    <row r="2" spans="1:4" x14ac:dyDescent="0.25">
      <c r="A2">
        <v>0</v>
      </c>
      <c r="B2">
        <v>49</v>
      </c>
      <c r="C2" t="s">
        <v>191</v>
      </c>
      <c r="D2">
        <v>0</v>
      </c>
    </row>
    <row r="3" spans="1:4" x14ac:dyDescent="0.25">
      <c r="A3">
        <v>50</v>
      </c>
      <c r="B3">
        <v>69</v>
      </c>
      <c r="C3" t="s">
        <v>192</v>
      </c>
      <c r="D3">
        <v>0.02</v>
      </c>
    </row>
    <row r="4" spans="1:4" x14ac:dyDescent="0.25">
      <c r="A4">
        <v>70</v>
      </c>
      <c r="B4">
        <v>84</v>
      </c>
      <c r="C4" t="s">
        <v>193</v>
      </c>
      <c r="D4">
        <v>0.05</v>
      </c>
    </row>
    <row r="5" spans="1:4" x14ac:dyDescent="0.25">
      <c r="A5">
        <v>85</v>
      </c>
      <c r="B5">
        <v>94</v>
      </c>
      <c r="C5" t="s">
        <v>194</v>
      </c>
      <c r="D5">
        <v>0.08</v>
      </c>
    </row>
    <row r="6" spans="1:4" x14ac:dyDescent="0.25">
      <c r="A6">
        <v>95</v>
      </c>
      <c r="B6">
        <v>100</v>
      </c>
      <c r="C6" t="s">
        <v>195</v>
      </c>
      <c r="D6">
        <v>0.12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3AADC-3CF1-46AF-900C-7C4C6CEE5F92}">
  <dimension ref="B1:L68"/>
  <sheetViews>
    <sheetView tabSelected="1" topLeftCell="A40" zoomScale="80" zoomScaleNormal="80" workbookViewId="0">
      <selection activeCell="F40" sqref="F40"/>
    </sheetView>
  </sheetViews>
  <sheetFormatPr defaultRowHeight="15" x14ac:dyDescent="0.25"/>
  <cols>
    <col min="2" max="2" width="16.85546875" bestFit="1" customWidth="1"/>
    <col min="3" max="3" width="22.42578125" bestFit="1" customWidth="1"/>
    <col min="4" max="4" width="4.42578125" bestFit="1" customWidth="1"/>
    <col min="5" max="5" width="19.5703125" bestFit="1" customWidth="1"/>
    <col min="6" max="6" width="28.140625" bestFit="1" customWidth="1"/>
    <col min="7" max="7" width="22.5703125" bestFit="1" customWidth="1"/>
    <col min="8" max="8" width="23.5703125" bestFit="1" customWidth="1"/>
    <col min="9" max="9" width="14" bestFit="1" customWidth="1"/>
    <col min="10" max="11" width="15.28515625" bestFit="1" customWidth="1"/>
    <col min="12" max="12" width="9.140625" bestFit="1" customWidth="1"/>
    <col min="13" max="14" width="11.42578125" bestFit="1" customWidth="1"/>
  </cols>
  <sheetData>
    <row r="1" spans="2:10" x14ac:dyDescent="0.25">
      <c r="B1" s="24" t="s">
        <v>313</v>
      </c>
      <c r="C1" s="24"/>
      <c r="D1" s="24"/>
      <c r="E1" s="24"/>
    </row>
    <row r="3" spans="2:10" x14ac:dyDescent="0.25">
      <c r="B3" t="s">
        <v>317</v>
      </c>
      <c r="D3" t="s">
        <v>323</v>
      </c>
      <c r="F3" s="13" t="s">
        <v>306</v>
      </c>
      <c r="G3" t="s">
        <v>330</v>
      </c>
      <c r="I3" s="13" t="s">
        <v>306</v>
      </c>
      <c r="J3" t="s">
        <v>317</v>
      </c>
    </row>
    <row r="4" spans="2:10" x14ac:dyDescent="0.25">
      <c r="B4" s="15">
        <v>150</v>
      </c>
      <c r="C4">
        <f>GETPIVOTDATA("[Measures].[Count of Emp ID]",$B$3)</f>
        <v>150</v>
      </c>
      <c r="D4" s="23">
        <v>12501166</v>
      </c>
      <c r="E4" s="23">
        <f>GETPIVOTDATA("[Measures].[Sum of Salary]",$D$3)</f>
        <v>12501166</v>
      </c>
      <c r="F4" s="14" t="s">
        <v>182</v>
      </c>
      <c r="G4" s="23">
        <v>2853242</v>
      </c>
      <c r="I4" s="14" t="s">
        <v>336</v>
      </c>
      <c r="J4" s="15">
        <v>1</v>
      </c>
    </row>
    <row r="5" spans="2:10" x14ac:dyDescent="0.25">
      <c r="B5" s="15"/>
      <c r="D5" s="16"/>
      <c r="F5" s="14" t="s">
        <v>312</v>
      </c>
      <c r="G5" s="23">
        <v>2853242</v>
      </c>
      <c r="I5" s="14" t="s">
        <v>337</v>
      </c>
      <c r="J5" s="15">
        <v>1</v>
      </c>
    </row>
    <row r="6" spans="2:10" x14ac:dyDescent="0.25">
      <c r="B6" s="15"/>
      <c r="D6" s="16"/>
      <c r="I6" s="14" t="s">
        <v>338</v>
      </c>
      <c r="J6" s="15">
        <v>13</v>
      </c>
    </row>
    <row r="7" spans="2:10" x14ac:dyDescent="0.25">
      <c r="I7" s="14" t="s">
        <v>339</v>
      </c>
      <c r="J7" s="15">
        <v>17</v>
      </c>
    </row>
    <row r="8" spans="2:10" x14ac:dyDescent="0.25">
      <c r="B8" s="13" t="s">
        <v>321</v>
      </c>
      <c r="C8" t="s">
        <v>328</v>
      </c>
      <c r="E8" s="13" t="s">
        <v>321</v>
      </c>
      <c r="F8" t="s">
        <v>328</v>
      </c>
      <c r="G8" t="s">
        <v>314</v>
      </c>
      <c r="I8" s="14" t="s">
        <v>340</v>
      </c>
      <c r="J8" s="15">
        <v>19</v>
      </c>
    </row>
    <row r="9" spans="2:10" x14ac:dyDescent="0.25">
      <c r="B9" s="14" t="s">
        <v>183</v>
      </c>
      <c r="C9" s="15">
        <v>17</v>
      </c>
      <c r="E9" s="14" t="s">
        <v>183</v>
      </c>
      <c r="F9" s="15">
        <v>17</v>
      </c>
      <c r="G9" s="16">
        <v>89240.23529411765</v>
      </c>
      <c r="I9" s="14" t="s">
        <v>341</v>
      </c>
      <c r="J9" s="15">
        <v>18</v>
      </c>
    </row>
    <row r="10" spans="2:10" x14ac:dyDescent="0.25">
      <c r="B10" s="14" t="s">
        <v>181</v>
      </c>
      <c r="C10" s="15">
        <v>18</v>
      </c>
      <c r="E10" s="14" t="s">
        <v>181</v>
      </c>
      <c r="F10" s="15">
        <v>18</v>
      </c>
      <c r="G10" s="16">
        <v>85688.777777777781</v>
      </c>
      <c r="I10" s="14" t="s">
        <v>342</v>
      </c>
      <c r="J10" s="15">
        <v>16</v>
      </c>
    </row>
    <row r="11" spans="2:10" x14ac:dyDescent="0.25">
      <c r="B11" s="14" t="s">
        <v>182</v>
      </c>
      <c r="C11" s="15">
        <v>36</v>
      </c>
      <c r="E11" s="14" t="s">
        <v>182</v>
      </c>
      <c r="F11" s="15">
        <v>36</v>
      </c>
      <c r="G11" s="16">
        <v>79256.722222222219</v>
      </c>
      <c r="I11" s="14" t="s">
        <v>343</v>
      </c>
      <c r="J11" s="15">
        <v>17</v>
      </c>
    </row>
    <row r="12" spans="2:10" x14ac:dyDescent="0.25">
      <c r="B12" s="14" t="s">
        <v>184</v>
      </c>
      <c r="C12" s="15">
        <v>19</v>
      </c>
      <c r="E12" s="14" t="s">
        <v>184</v>
      </c>
      <c r="F12" s="15">
        <v>19</v>
      </c>
      <c r="G12" s="16">
        <v>85675.578947368427</v>
      </c>
      <c r="I12" s="14" t="s">
        <v>344</v>
      </c>
      <c r="J12" s="15">
        <v>14</v>
      </c>
    </row>
    <row r="13" spans="2:10" x14ac:dyDescent="0.25">
      <c r="B13" s="14" t="s">
        <v>186</v>
      </c>
      <c r="C13" s="15">
        <v>29</v>
      </c>
      <c r="E13" s="14" t="s">
        <v>186</v>
      </c>
      <c r="F13" s="15">
        <v>29</v>
      </c>
      <c r="G13" s="16">
        <v>79512.275862068971</v>
      </c>
      <c r="I13" s="14" t="s">
        <v>345</v>
      </c>
      <c r="J13" s="15">
        <v>17</v>
      </c>
    </row>
    <row r="14" spans="2:10" x14ac:dyDescent="0.25">
      <c r="B14" s="14" t="s">
        <v>185</v>
      </c>
      <c r="C14" s="15">
        <v>31</v>
      </c>
      <c r="E14" s="14" t="s">
        <v>185</v>
      </c>
      <c r="F14" s="15">
        <v>31</v>
      </c>
      <c r="G14" s="16">
        <v>85637.096774193546</v>
      </c>
      <c r="I14" s="14" t="s">
        <v>346</v>
      </c>
      <c r="J14" s="15">
        <v>17</v>
      </c>
    </row>
    <row r="15" spans="2:10" x14ac:dyDescent="0.25">
      <c r="B15" s="14" t="s">
        <v>312</v>
      </c>
      <c r="C15" s="15">
        <v>150</v>
      </c>
      <c r="E15" s="14" t="s">
        <v>312</v>
      </c>
      <c r="F15" s="15">
        <v>150</v>
      </c>
      <c r="G15" s="16">
        <v>83341.106666666674</v>
      </c>
      <c r="I15" s="14" t="s">
        <v>312</v>
      </c>
      <c r="J15" s="15">
        <v>150</v>
      </c>
    </row>
    <row r="17" spans="2:11" x14ac:dyDescent="0.25">
      <c r="C17" s="24" t="s">
        <v>315</v>
      </c>
      <c r="D17" s="24"/>
      <c r="E17" s="24"/>
      <c r="F17" s="24"/>
      <c r="G17" s="24"/>
    </row>
    <row r="18" spans="2:11" x14ac:dyDescent="0.25">
      <c r="C18" s="22"/>
      <c r="D18" s="22"/>
      <c r="E18" s="22"/>
      <c r="F18" s="22"/>
      <c r="G18" s="22"/>
    </row>
    <row r="19" spans="2:11" x14ac:dyDescent="0.25">
      <c r="C19" s="17"/>
      <c r="D19" s="17"/>
      <c r="E19" s="17"/>
      <c r="F19" s="17"/>
      <c r="G19" s="17"/>
    </row>
    <row r="20" spans="2:11" x14ac:dyDescent="0.25">
      <c r="B20" s="13" t="s">
        <v>1</v>
      </c>
      <c r="C20" t="s">
        <v>329</v>
      </c>
      <c r="D20" s="17"/>
      <c r="E20" s="13" t="s">
        <v>326</v>
      </c>
      <c r="F20" s="13" t="s">
        <v>327</v>
      </c>
      <c r="G20" s="17"/>
      <c r="H20" s="13" t="s">
        <v>326</v>
      </c>
      <c r="I20" s="13" t="s">
        <v>327</v>
      </c>
    </row>
    <row r="21" spans="2:11" x14ac:dyDescent="0.25">
      <c r="B21" s="14" t="s">
        <v>18</v>
      </c>
      <c r="C21" s="15">
        <v>116</v>
      </c>
      <c r="E21" s="13" t="s">
        <v>321</v>
      </c>
      <c r="F21" s="15" t="s">
        <v>18</v>
      </c>
      <c r="H21" s="13" t="s">
        <v>321</v>
      </c>
      <c r="I21" s="15" t="s">
        <v>10</v>
      </c>
    </row>
    <row r="22" spans="2:11" x14ac:dyDescent="0.25">
      <c r="B22" s="14" t="s">
        <v>10</v>
      </c>
      <c r="C22" s="15">
        <v>24</v>
      </c>
      <c r="E22" s="14" t="s">
        <v>182</v>
      </c>
      <c r="F22" s="15">
        <v>28</v>
      </c>
      <c r="H22" s="14" t="s">
        <v>182</v>
      </c>
      <c r="I22" s="15">
        <v>6</v>
      </c>
    </row>
    <row r="23" spans="2:11" x14ac:dyDescent="0.25">
      <c r="B23" s="14" t="s">
        <v>312</v>
      </c>
      <c r="C23" s="15">
        <v>140</v>
      </c>
      <c r="E23" s="14" t="s">
        <v>185</v>
      </c>
      <c r="F23" s="15">
        <v>25</v>
      </c>
      <c r="H23" s="14" t="s">
        <v>312</v>
      </c>
      <c r="I23" s="15">
        <v>6</v>
      </c>
    </row>
    <row r="24" spans="2:11" x14ac:dyDescent="0.25">
      <c r="B24" s="14"/>
      <c r="C24" s="15"/>
      <c r="E24" s="14" t="s">
        <v>312</v>
      </c>
      <c r="F24" s="15">
        <v>53</v>
      </c>
    </row>
    <row r="25" spans="2:11" x14ac:dyDescent="0.25">
      <c r="B25" s="14"/>
      <c r="C25" s="15"/>
    </row>
    <row r="26" spans="2:11" x14ac:dyDescent="0.25">
      <c r="B26" s="14"/>
      <c r="C26" s="15"/>
    </row>
    <row r="28" spans="2:11" x14ac:dyDescent="0.25">
      <c r="B28" s="13" t="s">
        <v>317</v>
      </c>
      <c r="C28" s="13" t="s">
        <v>316</v>
      </c>
      <c r="G28" s="13" t="s">
        <v>317</v>
      </c>
      <c r="H28" s="13" t="s">
        <v>316</v>
      </c>
    </row>
    <row r="29" spans="2:11" x14ac:dyDescent="0.25">
      <c r="B29" s="13" t="s">
        <v>311</v>
      </c>
      <c r="C29" t="s">
        <v>18</v>
      </c>
      <c r="D29" t="s">
        <v>10</v>
      </c>
      <c r="E29" t="s">
        <v>55</v>
      </c>
      <c r="G29" s="13" t="s">
        <v>311</v>
      </c>
      <c r="H29" t="s">
        <v>18</v>
      </c>
      <c r="I29" t="s">
        <v>10</v>
      </c>
      <c r="J29" t="s">
        <v>55</v>
      </c>
      <c r="K29" t="s">
        <v>312</v>
      </c>
    </row>
    <row r="30" spans="2:11" x14ac:dyDescent="0.25">
      <c r="B30" s="14" t="s">
        <v>183</v>
      </c>
      <c r="C30" s="15">
        <v>14</v>
      </c>
      <c r="D30" s="15">
        <v>3</v>
      </c>
      <c r="E30" s="15"/>
      <c r="G30" s="14" t="s">
        <v>183</v>
      </c>
      <c r="H30" s="18">
        <v>0.82352941176470584</v>
      </c>
      <c r="I30" s="18">
        <v>0.17647058823529413</v>
      </c>
      <c r="J30" s="18">
        <v>0</v>
      </c>
      <c r="K30" s="18">
        <v>1</v>
      </c>
    </row>
    <row r="31" spans="2:11" x14ac:dyDescent="0.25">
      <c r="B31" s="14" t="s">
        <v>181</v>
      </c>
      <c r="C31" s="15">
        <v>15</v>
      </c>
      <c r="D31" s="15">
        <v>2</v>
      </c>
      <c r="E31" s="15">
        <v>1</v>
      </c>
      <c r="G31" s="14" t="s">
        <v>181</v>
      </c>
      <c r="H31" s="18">
        <v>0.83333333333333337</v>
      </c>
      <c r="I31" s="18">
        <v>0.1111111111111111</v>
      </c>
      <c r="J31" s="18">
        <v>5.5555555555555552E-2</v>
      </c>
      <c r="K31" s="18">
        <v>1</v>
      </c>
    </row>
    <row r="32" spans="2:11" x14ac:dyDescent="0.25">
      <c r="B32" s="14" t="s">
        <v>182</v>
      </c>
      <c r="C32" s="15">
        <v>28</v>
      </c>
      <c r="D32" s="15">
        <v>6</v>
      </c>
      <c r="E32" s="15">
        <v>2</v>
      </c>
      <c r="G32" s="14" t="s">
        <v>182</v>
      </c>
      <c r="H32" s="18">
        <v>0.77777777777777779</v>
      </c>
      <c r="I32" s="18">
        <v>0.16666666666666666</v>
      </c>
      <c r="J32" s="18">
        <v>5.5555555555555552E-2</v>
      </c>
      <c r="K32" s="18">
        <v>1</v>
      </c>
    </row>
    <row r="33" spans="2:12" x14ac:dyDescent="0.25">
      <c r="B33" s="14" t="s">
        <v>184</v>
      </c>
      <c r="C33" s="15">
        <v>16</v>
      </c>
      <c r="D33" s="15">
        <v>3</v>
      </c>
      <c r="E33" s="15"/>
      <c r="F33" s="15"/>
      <c r="G33" s="14" t="s">
        <v>184</v>
      </c>
      <c r="H33" s="18">
        <v>0.84210526315789469</v>
      </c>
      <c r="I33" s="18">
        <v>0.15789473684210525</v>
      </c>
      <c r="J33" s="18">
        <v>0</v>
      </c>
      <c r="K33" s="18">
        <v>1</v>
      </c>
      <c r="L33" s="18"/>
    </row>
    <row r="34" spans="2:12" x14ac:dyDescent="0.25">
      <c r="B34" s="14" t="s">
        <v>186</v>
      </c>
      <c r="C34" s="15">
        <v>18</v>
      </c>
      <c r="D34" s="15">
        <v>6</v>
      </c>
      <c r="E34" s="15">
        <v>5</v>
      </c>
      <c r="F34" s="15"/>
      <c r="G34" s="14" t="s">
        <v>186</v>
      </c>
      <c r="H34" s="18">
        <v>0.62068965517241381</v>
      </c>
      <c r="I34" s="18">
        <v>0.20689655172413793</v>
      </c>
      <c r="J34" s="18">
        <v>0.17241379310344829</v>
      </c>
      <c r="K34" s="18">
        <v>1</v>
      </c>
      <c r="L34" s="18"/>
    </row>
    <row r="35" spans="2:12" x14ac:dyDescent="0.25">
      <c r="B35" s="14" t="s">
        <v>185</v>
      </c>
      <c r="C35" s="15">
        <v>25</v>
      </c>
      <c r="D35" s="15">
        <v>4</v>
      </c>
      <c r="E35" s="15">
        <v>2</v>
      </c>
      <c r="F35" s="15"/>
      <c r="G35" s="14" t="s">
        <v>185</v>
      </c>
      <c r="H35" s="18">
        <v>0.80645161290322576</v>
      </c>
      <c r="I35" s="18">
        <v>0.12903225806451613</v>
      </c>
      <c r="J35" s="18">
        <v>6.4516129032258063E-2</v>
      </c>
      <c r="K35" s="18">
        <v>1</v>
      </c>
      <c r="L35" s="18"/>
    </row>
    <row r="36" spans="2:12" x14ac:dyDescent="0.25">
      <c r="B36" s="14" t="s">
        <v>312</v>
      </c>
      <c r="C36" s="15">
        <v>116</v>
      </c>
      <c r="D36" s="15">
        <v>24</v>
      </c>
      <c r="E36" s="15">
        <v>10</v>
      </c>
      <c r="F36" s="15"/>
      <c r="H36" s="14"/>
      <c r="I36" s="18"/>
      <c r="J36" s="18"/>
      <c r="K36" s="18"/>
      <c r="L36" s="18"/>
    </row>
    <row r="37" spans="2:12" x14ac:dyDescent="0.25">
      <c r="D37" s="15"/>
      <c r="E37" s="15"/>
      <c r="J37" s="18"/>
      <c r="K37" s="18"/>
      <c r="L37" s="18"/>
    </row>
    <row r="38" spans="2:12" x14ac:dyDescent="0.25">
      <c r="D38" s="15"/>
      <c r="E38" s="15"/>
      <c r="J38" s="18"/>
      <c r="K38" s="18"/>
      <c r="L38" s="18"/>
    </row>
    <row r="41" spans="2:12" x14ac:dyDescent="0.25">
      <c r="B41" s="24" t="s">
        <v>318</v>
      </c>
      <c r="C41" s="24"/>
      <c r="D41" s="24"/>
      <c r="E41" s="24"/>
    </row>
    <row r="43" spans="2:12" x14ac:dyDescent="0.25">
      <c r="B43" s="13" t="s">
        <v>311</v>
      </c>
      <c r="C43" t="s">
        <v>325</v>
      </c>
    </row>
    <row r="44" spans="2:12" x14ac:dyDescent="0.25">
      <c r="B44" s="14" t="s">
        <v>181</v>
      </c>
      <c r="C44" s="21">
        <v>71</v>
      </c>
    </row>
    <row r="45" spans="2:12" x14ac:dyDescent="0.25">
      <c r="B45" s="14" t="s">
        <v>184</v>
      </c>
      <c r="C45" s="21">
        <v>73.21052631578948</v>
      </c>
    </row>
    <row r="46" spans="2:12" x14ac:dyDescent="0.25">
      <c r="B46" s="14" t="s">
        <v>312</v>
      </c>
      <c r="C46" s="21">
        <v>72.13513513513513</v>
      </c>
      <c r="E46" s="13" t="s">
        <v>306</v>
      </c>
      <c r="F46" t="s">
        <v>334</v>
      </c>
    </row>
    <row r="47" spans="2:12" x14ac:dyDescent="0.25">
      <c r="E47" s="14" t="s">
        <v>193</v>
      </c>
      <c r="F47" s="21">
        <v>164690.80000000005</v>
      </c>
    </row>
    <row r="48" spans="2:12" x14ac:dyDescent="0.25">
      <c r="E48" s="14" t="s">
        <v>192</v>
      </c>
      <c r="F48" s="21">
        <v>84484.200000000012</v>
      </c>
    </row>
    <row r="49" spans="2:6" x14ac:dyDescent="0.25">
      <c r="B49" s="13" t="s">
        <v>311</v>
      </c>
      <c r="C49" t="s">
        <v>325</v>
      </c>
      <c r="E49" s="14" t="s">
        <v>194</v>
      </c>
      <c r="F49" s="21">
        <v>144880.48000000001</v>
      </c>
    </row>
    <row r="50" spans="2:6" x14ac:dyDescent="0.25">
      <c r="B50" s="14" t="s">
        <v>183</v>
      </c>
      <c r="C50" s="21">
        <v>68.941176470588232</v>
      </c>
      <c r="E50" s="14" t="s">
        <v>191</v>
      </c>
      <c r="F50" s="21">
        <v>0</v>
      </c>
    </row>
    <row r="51" spans="2:6" x14ac:dyDescent="0.25">
      <c r="B51" s="14" t="s">
        <v>181</v>
      </c>
      <c r="C51" s="21">
        <v>71</v>
      </c>
      <c r="E51" s="14" t="s">
        <v>195</v>
      </c>
      <c r="F51" s="21">
        <v>91326.24</v>
      </c>
    </row>
    <row r="52" spans="2:6" x14ac:dyDescent="0.25">
      <c r="B52" s="14" t="s">
        <v>182</v>
      </c>
      <c r="C52" s="21">
        <v>65.388888888888886</v>
      </c>
      <c r="E52" s="14" t="s">
        <v>312</v>
      </c>
      <c r="F52" s="21">
        <v>485381.72000000015</v>
      </c>
    </row>
    <row r="53" spans="2:6" x14ac:dyDescent="0.25">
      <c r="B53" s="14" t="s">
        <v>184</v>
      </c>
      <c r="C53" s="21">
        <v>73.21052631578948</v>
      </c>
    </row>
    <row r="54" spans="2:6" x14ac:dyDescent="0.25">
      <c r="B54" s="14" t="s">
        <v>186</v>
      </c>
      <c r="C54" s="21">
        <v>69.931034482758619</v>
      </c>
    </row>
    <row r="55" spans="2:6" x14ac:dyDescent="0.25">
      <c r="B55" s="14" t="s">
        <v>185</v>
      </c>
      <c r="C55" s="21">
        <v>64.129032258064512</v>
      </c>
    </row>
    <row r="56" spans="2:6" x14ac:dyDescent="0.25">
      <c r="B56" s="14" t="s">
        <v>312</v>
      </c>
      <c r="C56" s="21">
        <v>68.073333333333338</v>
      </c>
    </row>
    <row r="60" spans="2:6" x14ac:dyDescent="0.25">
      <c r="C60" s="24" t="s">
        <v>322</v>
      </c>
      <c r="D60" s="24"/>
      <c r="E60" s="14"/>
      <c r="F60" s="21"/>
    </row>
    <row r="62" spans="2:6" x14ac:dyDescent="0.25">
      <c r="B62" t="s">
        <v>332</v>
      </c>
      <c r="E62" s="13" t="s">
        <v>331</v>
      </c>
      <c r="F62" t="s">
        <v>324</v>
      </c>
    </row>
    <row r="63" spans="2:6" x14ac:dyDescent="0.25">
      <c r="B63" s="16">
        <v>485381.72000000015</v>
      </c>
      <c r="E63" s="14" t="s">
        <v>193</v>
      </c>
      <c r="F63" s="16">
        <v>164690.80000000005</v>
      </c>
    </row>
    <row r="64" spans="2:6" x14ac:dyDescent="0.25">
      <c r="E64" s="14" t="s">
        <v>192</v>
      </c>
      <c r="F64" s="16">
        <v>84484.200000000012</v>
      </c>
    </row>
    <row r="65" spans="2:6" x14ac:dyDescent="0.25">
      <c r="B65" s="13" t="s">
        <v>331</v>
      </c>
      <c r="C65" t="s">
        <v>333</v>
      </c>
      <c r="E65" s="14" t="s">
        <v>194</v>
      </c>
      <c r="F65" s="16">
        <v>144880.48000000001</v>
      </c>
    </row>
    <row r="66" spans="2:6" x14ac:dyDescent="0.25">
      <c r="B66" s="14" t="s">
        <v>182</v>
      </c>
      <c r="C66" s="16">
        <v>103135.38999999998</v>
      </c>
      <c r="E66" s="14" t="s">
        <v>191</v>
      </c>
      <c r="F66" s="16">
        <v>0</v>
      </c>
    </row>
    <row r="67" spans="2:6" x14ac:dyDescent="0.25">
      <c r="B67" s="14" t="s">
        <v>312</v>
      </c>
      <c r="C67" s="16">
        <v>103135.38999999998</v>
      </c>
      <c r="E67" s="14" t="s">
        <v>195</v>
      </c>
      <c r="F67" s="16">
        <v>91326.24</v>
      </c>
    </row>
    <row r="68" spans="2:6" x14ac:dyDescent="0.25">
      <c r="E68" s="14" t="s">
        <v>312</v>
      </c>
      <c r="F68" s="16">
        <v>485381.72000000015</v>
      </c>
    </row>
  </sheetData>
  <mergeCells count="4">
    <mergeCell ref="C17:G17"/>
    <mergeCell ref="B1:E1"/>
    <mergeCell ref="C60:D60"/>
    <mergeCell ref="B41:E4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CC508-7C66-468E-AC7A-DC8D7E607EDF}">
  <dimension ref="A1"/>
  <sheetViews>
    <sheetView showGridLines="0" workbookViewId="0">
      <selection activeCell="P12" sqref="P1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F2F3F-3275-4EC8-A4B4-47C666DEF25E}">
  <dimension ref="A1"/>
  <sheetViews>
    <sheetView showGridLines="0" workbookViewId="0"/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Raw_Employee_Data</vt:lpstr>
      <vt:lpstr>Lookup_Departments</vt:lpstr>
      <vt:lpstr>Lookup_Performance</vt:lpstr>
      <vt:lpstr>Analysis</vt:lpstr>
      <vt:lpstr>Dashboard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Adeniran Barakat Dasolami</cp:lastModifiedBy>
  <dcterms:created xsi:type="dcterms:W3CDTF">2026-06-04T20:20:01Z</dcterms:created>
  <dcterms:modified xsi:type="dcterms:W3CDTF">2026-07-08T16:00:00Z</dcterms:modified>
</cp:coreProperties>
</file>